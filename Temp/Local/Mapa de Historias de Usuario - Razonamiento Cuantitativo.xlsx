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rOkt\OneDrive\Documents\CogniCare - Raz. Cuantitativo\"/>
    </mc:Choice>
  </mc:AlternateContent>
  <xr:revisionPtr revIDLastSave="0" documentId="13_ncr:1_{3F3ABF34-CF34-4327-9AFF-4A3BCC5E6A2A}" xr6:coauthVersionLast="47" xr6:coauthVersionMax="47" xr10:uidLastSave="{00000000-0000-0000-0000-000000000000}"/>
  <bookViews>
    <workbookView xWindow="0" yWindow="0" windowWidth="28800" windowHeight="15600" tabRatio="756" activeTab="1" xr2:uid="{00000000-000D-0000-FFFF-FFFF00000000}"/>
  </bookViews>
  <sheets>
    <sheet name="Ejemplo desarrollo sprints" sheetId="3" r:id="rId1"/>
    <sheet name="Product Backlog HUs" sheetId="2" r:id="rId2"/>
    <sheet name="Mapa de historias de usuario" sheetId="1" r:id="rId3"/>
    <sheet name="Plan de liberaciones" sheetId="5" r:id="rId4"/>
    <sheet name="HU1" sheetId="4" r:id="rId5"/>
    <sheet name="HU2" sheetId="6" r:id="rId6"/>
    <sheet name="HU3" sheetId="11" r:id="rId7"/>
    <sheet name="HU4" sheetId="7" r:id="rId8"/>
    <sheet name="HU5" sheetId="12" r:id="rId9"/>
    <sheet name="HU6" sheetId="13" r:id="rId10"/>
    <sheet name="HU7" sheetId="8" r:id="rId11"/>
    <sheet name="HU8" sheetId="14" r:id="rId12"/>
    <sheet name="HU9" sheetId="15" r:id="rId13"/>
    <sheet name="HU10" sheetId="16" r:id="rId14"/>
    <sheet name="HU11" sheetId="17" r:id="rId15"/>
    <sheet name="HU12" sheetId="18" r:id="rId16"/>
    <sheet name="HU13" sheetId="10" r:id="rId17"/>
    <sheet name="HU14" sheetId="19" r:id="rId18"/>
    <sheet name="HU15" sheetId="20" r:id="rId19"/>
  </sheets>
  <definedNames>
    <definedName name="_xlnm._FilterDatabase" localSheetId="1" hidden="1">'Product Backlog HUs'!$A$1:$AA$1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5" l="1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 l="1"/>
  <c r="F6" i="1"/>
  <c r="F5" i="1"/>
  <c r="F3" i="1"/>
  <c r="E6" i="1"/>
  <c r="E5" i="1"/>
  <c r="E3" i="1"/>
  <c r="D5" i="1"/>
  <c r="D3" i="1"/>
  <c r="C3" i="1"/>
  <c r="B9" i="1"/>
  <c r="B8" i="1"/>
  <c r="B7" i="1"/>
  <c r="B6" i="1"/>
  <c r="B5" i="1"/>
  <c r="B3" i="1"/>
  <c r="E13" i="20"/>
  <c r="E12" i="20"/>
  <c r="E11" i="20"/>
  <c r="E10" i="20"/>
  <c r="A8" i="20"/>
  <c r="B7" i="20"/>
  <c r="B6" i="20"/>
  <c r="B5" i="20"/>
  <c r="A3" i="20"/>
  <c r="A3" i="19"/>
  <c r="E13" i="19"/>
  <c r="E12" i="19"/>
  <c r="E11" i="19"/>
  <c r="E10" i="19"/>
  <c r="A8" i="19"/>
  <c r="B7" i="19"/>
  <c r="B6" i="19"/>
  <c r="B5" i="19"/>
  <c r="A13" i="20"/>
  <c r="A12" i="20"/>
  <c r="A11" i="20"/>
  <c r="A10" i="20"/>
  <c r="A13" i="19"/>
  <c r="A12" i="19"/>
  <c r="A11" i="19"/>
  <c r="A10" i="19"/>
  <c r="E13" i="18"/>
  <c r="E12" i="18"/>
  <c r="E11" i="18"/>
  <c r="E10" i="18"/>
  <c r="B7" i="18"/>
  <c r="B6" i="18"/>
  <c r="B5" i="18"/>
  <c r="A13" i="18"/>
  <c r="A12" i="18"/>
  <c r="A11" i="18"/>
  <c r="A10" i="18"/>
  <c r="E13" i="17"/>
  <c r="E12" i="17"/>
  <c r="E11" i="17"/>
  <c r="E10" i="17"/>
  <c r="A8" i="17"/>
  <c r="B7" i="17"/>
  <c r="B6" i="17"/>
  <c r="B5" i="17"/>
  <c r="A3" i="17"/>
  <c r="A13" i="17"/>
  <c r="A12" i="17"/>
  <c r="A11" i="17"/>
  <c r="A10" i="17"/>
  <c r="E13" i="16"/>
  <c r="E12" i="16"/>
  <c r="E11" i="16"/>
  <c r="E10" i="16"/>
  <c r="B7" i="16"/>
  <c r="B6" i="16"/>
  <c r="B5" i="16"/>
  <c r="A3" i="16"/>
  <c r="A13" i="16"/>
  <c r="A12" i="16"/>
  <c r="A11" i="16"/>
  <c r="A10" i="16"/>
  <c r="E13" i="10"/>
  <c r="E12" i="10"/>
  <c r="E11" i="10"/>
  <c r="E10" i="10"/>
  <c r="B7" i="10"/>
  <c r="B6" i="10"/>
  <c r="B5" i="10"/>
  <c r="A3" i="10"/>
  <c r="E13" i="15"/>
  <c r="E12" i="15"/>
  <c r="E11" i="15"/>
  <c r="E10" i="15"/>
  <c r="A8" i="15"/>
  <c r="B7" i="15"/>
  <c r="B6" i="15"/>
  <c r="B5" i="15"/>
  <c r="A3" i="15"/>
  <c r="E13" i="14"/>
  <c r="E12" i="14"/>
  <c r="E11" i="14"/>
  <c r="E10" i="14"/>
  <c r="A8" i="14"/>
  <c r="B7" i="14"/>
  <c r="B6" i="14"/>
  <c r="B5" i="14"/>
  <c r="A3" i="14"/>
  <c r="E13" i="8"/>
  <c r="E12" i="8"/>
  <c r="E11" i="8"/>
  <c r="E10" i="8"/>
  <c r="A8" i="8"/>
  <c r="B7" i="8"/>
  <c r="B6" i="8"/>
  <c r="B5" i="8"/>
  <c r="A3" i="8"/>
  <c r="E13" i="13"/>
  <c r="E12" i="13"/>
  <c r="E11" i="13"/>
  <c r="E10" i="13"/>
  <c r="A8" i="13"/>
  <c r="B7" i="13"/>
  <c r="B6" i="13"/>
  <c r="B5" i="13"/>
  <c r="A3" i="13"/>
  <c r="A3" i="11"/>
  <c r="A3" i="7"/>
  <c r="A3" i="12"/>
  <c r="E13" i="12"/>
  <c r="E12" i="12"/>
  <c r="E11" i="12"/>
  <c r="E10" i="12"/>
  <c r="B7" i="12"/>
  <c r="B6" i="12"/>
  <c r="B5" i="12"/>
  <c r="E13" i="7"/>
  <c r="E12" i="7"/>
  <c r="E11" i="7"/>
  <c r="E10" i="7"/>
  <c r="A8" i="7"/>
  <c r="B7" i="7"/>
  <c r="B6" i="7"/>
  <c r="B5" i="7"/>
  <c r="E13" i="11"/>
  <c r="E10" i="11"/>
  <c r="E12" i="11"/>
  <c r="A8" i="11"/>
  <c r="B7" i="11"/>
  <c r="B6" i="11"/>
  <c r="B5" i="11"/>
  <c r="A13" i="15"/>
  <c r="A12" i="15"/>
  <c r="A11" i="15"/>
  <c r="A10" i="15"/>
  <c r="A13" i="14"/>
  <c r="A12" i="14"/>
  <c r="A11" i="14"/>
  <c r="A10" i="14"/>
  <c r="A13" i="13"/>
  <c r="A12" i="13"/>
  <c r="A11" i="13"/>
  <c r="A10" i="13"/>
  <c r="A13" i="12"/>
  <c r="A12" i="12"/>
  <c r="A11" i="12"/>
  <c r="A10" i="12"/>
  <c r="A13" i="11"/>
  <c r="A12" i="11"/>
  <c r="A11" i="11"/>
  <c r="A10" i="11"/>
  <c r="H16" i="2"/>
  <c r="H15" i="2"/>
  <c r="H14" i="2"/>
  <c r="A8" i="10" s="1"/>
  <c r="H6" i="2"/>
  <c r="A8" i="12" s="1"/>
  <c r="H7" i="2"/>
  <c r="H8" i="2"/>
  <c r="H9" i="2"/>
  <c r="H10" i="2"/>
  <c r="H11" i="2"/>
  <c r="A8" i="16" s="1"/>
  <c r="H12" i="2"/>
  <c r="H13" i="2"/>
  <c r="A8" i="18" s="1"/>
  <c r="D8" i="2"/>
  <c r="D9" i="2"/>
  <c r="D10" i="2"/>
  <c r="D11" i="2"/>
  <c r="D12" i="2"/>
  <c r="D13" i="2"/>
  <c r="A3" i="18" s="1"/>
  <c r="D14" i="2"/>
  <c r="D15" i="2"/>
  <c r="D16" i="2"/>
  <c r="E13" i="6"/>
  <c r="E12" i="6"/>
  <c r="E10" i="6"/>
  <c r="B7" i="6"/>
  <c r="B6" i="6"/>
  <c r="B5" i="6"/>
  <c r="A13" i="10"/>
  <c r="A12" i="10"/>
  <c r="A11" i="10"/>
  <c r="A10" i="10"/>
  <c r="A13" i="8"/>
  <c r="A12" i="8"/>
  <c r="A11" i="8"/>
  <c r="A10" i="8"/>
  <c r="A13" i="7"/>
  <c r="A12" i="7"/>
  <c r="A11" i="7"/>
  <c r="A10" i="7"/>
  <c r="A13" i="6"/>
  <c r="A12" i="6"/>
  <c r="E11" i="6"/>
  <c r="A11" i="6"/>
  <c r="A10" i="6"/>
  <c r="H4" i="2" l="1"/>
  <c r="H5" i="2"/>
  <c r="H3" i="2"/>
  <c r="A8" i="6" s="1"/>
  <c r="H2" i="2"/>
  <c r="D2" i="2"/>
  <c r="B7" i="4"/>
  <c r="B6" i="4"/>
  <c r="B5" i="4"/>
  <c r="D2" i="5"/>
  <c r="D5" i="5" s="1"/>
  <c r="D7" i="5" s="1"/>
  <c r="D11" i="5" s="1"/>
  <c r="D14" i="5" s="1"/>
  <c r="E13" i="4"/>
  <c r="A13" i="4"/>
  <c r="E12" i="4"/>
  <c r="A12" i="4"/>
  <c r="E11" i="4"/>
  <c r="E10" i="4"/>
  <c r="A11" i="4"/>
  <c r="A10" i="4"/>
  <c r="A8" i="4"/>
  <c r="D7" i="2"/>
  <c r="D6" i="2"/>
  <c r="D5" i="2"/>
  <c r="D4" i="2"/>
  <c r="D3" i="2"/>
  <c r="A3" i="4"/>
  <c r="A3" i="6" l="1"/>
</calcChain>
</file>

<file path=xl/sharedStrings.xml><?xml version="1.0" encoding="utf-8"?>
<sst xmlns="http://schemas.openxmlformats.org/spreadsheetml/2006/main" count="753" uniqueCount="166">
  <si>
    <t>Mapa de historias de usuario</t>
  </si>
  <si>
    <t>Release 1</t>
  </si>
  <si>
    <t>Release 2</t>
  </si>
  <si>
    <t>Release 3</t>
  </si>
  <si>
    <t>Identificador</t>
  </si>
  <si>
    <t>Release</t>
  </si>
  <si>
    <t>HU1</t>
  </si>
  <si>
    <t>Sprint 1</t>
  </si>
  <si>
    <t>HU2</t>
  </si>
  <si>
    <t>HU3</t>
  </si>
  <si>
    <t>HU4</t>
  </si>
  <si>
    <t>HU5</t>
  </si>
  <si>
    <t>HU6</t>
  </si>
  <si>
    <t>Sprint 4</t>
  </si>
  <si>
    <t>Sprint 2</t>
  </si>
  <si>
    <t>Sprint 3</t>
  </si>
  <si>
    <t>Nombre Historia</t>
  </si>
  <si>
    <t>Nombre Historia de Usuario</t>
  </si>
  <si>
    <t>¿Quién dispara o ejecuta la Historia?</t>
  </si>
  <si>
    <t>¿Qué necesita poder llevar a cabo?</t>
  </si>
  <si>
    <t>¿Para qué necesita llevar a cabo esa acción?</t>
  </si>
  <si>
    <t>Card</t>
  </si>
  <si>
    <t>Talla</t>
  </si>
  <si>
    <t>S</t>
  </si>
  <si>
    <t>Tarjeta</t>
  </si>
  <si>
    <t>Como</t>
  </si>
  <si>
    <t>Necesito</t>
  </si>
  <si>
    <t>Para</t>
  </si>
  <si>
    <t>Conversación historia</t>
  </si>
  <si>
    <t>Requisito de información:</t>
  </si>
  <si>
    <t>Prototipo:</t>
  </si>
  <si>
    <t>Catálogo de mensajes:</t>
  </si>
  <si>
    <t>Catálogo de parámetros:</t>
  </si>
  <si>
    <t>Restricciones de diseño:</t>
  </si>
  <si>
    <t>* Deben tenerse en cuenta los campos descritos en el requisito de información que no deben ser visibles por el usuario.</t>
  </si>
  <si>
    <t>Conversación aspectos generales y transversales</t>
  </si>
  <si>
    <t>Aspectos generales:</t>
  </si>
  <si>
    <t>Título</t>
  </si>
  <si>
    <t>* Al momento de hacer la validación de una asociación previamente registrada con el mismo nombre, se validará contenido, más no temas de mayúsculas y minúsculas.</t>
  </si>
  <si>
    <t>* Otros aspectos de aclaración de interés para el cumplimiento de la HU.</t>
  </si>
  <si>
    <t>Criterios aceptación</t>
  </si>
  <si>
    <t>Código</t>
  </si>
  <si>
    <t>Escenario</t>
  </si>
  <si>
    <t>Estado</t>
  </si>
  <si>
    <t>Observación</t>
  </si>
  <si>
    <t>Aceptado</t>
  </si>
  <si>
    <t>No aceptado</t>
  </si>
  <si>
    <t>CA1</t>
  </si>
  <si>
    <t>CA2</t>
  </si>
  <si>
    <t>CA3</t>
  </si>
  <si>
    <t>CA4</t>
  </si>
  <si>
    <t>CA5</t>
  </si>
  <si>
    <t>CA6</t>
  </si>
  <si>
    <t>Nombre  Comando/Acción</t>
  </si>
  <si>
    <t>Release 0</t>
  </si>
  <si>
    <t>Tallaje</t>
  </si>
  <si>
    <t>Puntos de historia de usuario</t>
  </si>
  <si>
    <t>¿Definition of Ready?</t>
  </si>
  <si>
    <t>¿Definition of Done?</t>
  </si>
  <si>
    <t>Prioridad</t>
  </si>
  <si>
    <t>XL</t>
  </si>
  <si>
    <t>L</t>
  </si>
  <si>
    <t>Redacción HU</t>
  </si>
  <si>
    <t>Refinamiento HU</t>
  </si>
  <si>
    <t>Ejecutar Sprint</t>
  </si>
  <si>
    <t>Sprint -1</t>
  </si>
  <si>
    <t>Sprint -2</t>
  </si>
  <si>
    <t>Historia de usuario</t>
  </si>
  <si>
    <t>Días hábiles</t>
  </si>
  <si>
    <t>Acumulado días hábiles</t>
  </si>
  <si>
    <t>Sprint</t>
  </si>
  <si>
    <t>&lt;-Volver al listado</t>
  </si>
  <si>
    <t>Estudiante</t>
  </si>
  <si>
    <t>Entrenador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</si>
  <si>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iniciado la tarea,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muestra las instrucciones claras sobre cómo jugar,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puede entender las reglas del juego y comenzar a resolver los estímulos.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</si>
  <si>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>que el estudiante ha fallado en resolver un estímulo,</t>
    </r>
    <r>
      <rPr>
        <b/>
        <sz val="11"/>
        <color rgb="FF000000"/>
        <rFont val="Calibri"/>
        <family val="2"/>
      </rPr>
      <t xml:space="preserve"> cuando</t>
    </r>
    <r>
      <rPr>
        <sz val="11"/>
        <color rgb="FF000000"/>
        <rFont val="Calibri"/>
        <family val="2"/>
      </rPr>
      <t xml:space="preserve"> el tiempo se agota o selecciona una opción incorrecta,</t>
    </r>
    <r>
      <rPr>
        <b/>
        <sz val="11"/>
        <color rgb="FF000000"/>
        <rFont val="Calibri"/>
        <family val="2"/>
      </rPr>
      <t xml:space="preserve"> entonces </t>
    </r>
    <r>
      <rPr>
        <sz val="11"/>
        <color rgb="FF000000"/>
        <rFont val="Calibri"/>
        <family val="2"/>
      </rPr>
      <t>el sistema le resta una vida y pasa al siguiente estímulo.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</si>
  <si>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>que el estudiante ha resuelto correctamente un estímulo,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valida la respuesta correcta,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avanza al siguiente estímulo sin perder vidas.</t>
    </r>
  </si>
  <si>
    <r>
      <t xml:space="preserve">Dado </t>
    </r>
    <r>
      <rPr>
        <sz val="11"/>
        <color rgb="FF000000"/>
        <rFont val="Calibri"/>
        <family val="2"/>
      </rPr>
      <t>que el estudiante ha perdido todas sus vidas en el nivel 1,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detecta que no tiene más vidas,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estudiante debe reiniciar el nivel desde el principio.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</si>
  <si>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"El Suelo es Lava",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</si>
  <si>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"Los Secretos del Chef",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</si>
  <si>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antes de que se agote el tiempo, o perderá una vida.</t>
    </r>
  </si>
  <si>
    <r>
      <t xml:space="preserve">Dado </t>
    </r>
    <r>
      <rPr>
        <sz val="11"/>
        <color rgb="FF000000"/>
        <rFont val="Calibri"/>
        <family val="2"/>
      </rPr>
      <t>que el estudiante ha perdido todas sus vidas,</t>
    </r>
    <r>
      <rPr>
        <b/>
        <sz val="11"/>
        <color rgb="FF000000"/>
        <rFont val="Calibri"/>
        <family val="2"/>
      </rPr>
      <t xml:space="preserve"> cuando </t>
    </r>
    <r>
      <rPr>
        <sz val="11"/>
        <color rgb="FF000000"/>
        <rFont val="Calibri"/>
        <family val="2"/>
      </rPr>
      <t xml:space="preserve">el sistema detecta que no tiene más vidas,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estudiante debe reiniciar el nivel desde el principio.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</si>
  <si>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"Todo en Orden",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la tarea con los estímulos visuales y auditivos correspondientes, y el estudiante puede comenzar a jugar.</t>
    </r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</si>
  <si>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que el estudiante ha accedido al menú principal del juego,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selecciona la opción "Clonacion",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carga el nivel 1 con los estímulos visuales y auditivos correspondientes, y el estudiante puede comenzar a jugar.</t>
    </r>
  </si>
  <si>
    <t>TBA</t>
  </si>
  <si>
    <t>HU7</t>
  </si>
  <si>
    <t>HU8</t>
  </si>
  <si>
    <t>HU9</t>
  </si>
  <si>
    <t>HU10</t>
  </si>
  <si>
    <t>HU11</t>
  </si>
  <si>
    <t>HU12</t>
  </si>
  <si>
    <t>HU13</t>
  </si>
  <si>
    <t>HU14</t>
  </si>
  <si>
    <t>HU15</t>
  </si>
  <si>
    <t>Iniciar Juego - Plataformas</t>
  </si>
  <si>
    <t>Iniciar Juego - Mezclar Químicos</t>
  </si>
  <si>
    <t>Iniciar Juego - Organizar Químicos</t>
  </si>
  <si>
    <t>Iniciar Juego - Cuestionario Opción Múltiple</t>
  </si>
  <si>
    <t>Iniciar Juego - Cuestionario Digitar Respuesta</t>
  </si>
  <si>
    <t>Iniciar Juego - Cuestionario Mover Objetos</t>
  </si>
  <si>
    <t>Iniciar Juego - Tetris</t>
  </si>
  <si>
    <t>Iniciar Juego - Combinación Matemática</t>
  </si>
  <si>
    <t>Iniciar Juego - Hallar Patrón</t>
  </si>
  <si>
    <t>Registrar Respuesta</t>
  </si>
  <si>
    <t>Finalizar Tarea</t>
  </si>
  <si>
    <t>Finalizar Entrenamiento</t>
  </si>
  <si>
    <t>Calcular Resultados</t>
  </si>
  <si>
    <t>Generar Informe de Resultados de Sesión</t>
  </si>
  <si>
    <t>Juego Plataformas</t>
  </si>
  <si>
    <t>Juego Mezclar Químicos</t>
  </si>
  <si>
    <t>Iniciar Organizar Químicos</t>
  </si>
  <si>
    <t>Iniciar Cuestionario Opción Múltiple</t>
  </si>
  <si>
    <t>Iniciar Cuestionario Digitar Respuesta</t>
  </si>
  <si>
    <t>Iniciar Cuestionario Mover Objetos</t>
  </si>
  <si>
    <t>Iniciar Tetris</t>
  </si>
  <si>
    <t>Iniciar Combinación Matemática</t>
  </si>
  <si>
    <t>Iniciar Hallar Patrón</t>
  </si>
  <si>
    <t>Generar Informe</t>
  </si>
  <si>
    <t>acceso a la actividad en la tarea "El Suelo es Lava" de plataformas, con instrucciones claras, estímulos visuales y auditivos</t>
  </si>
  <si>
    <t>para comenzar a jugar y entrenar el reconocimiento de patrones.</t>
  </si>
  <si>
    <t>acceso a la actividad en la tarea "Los Secretos del Chef" de la mezcla de químicos, con instrucciones claras, estímulos visuales y auditivos</t>
  </si>
  <si>
    <t>para comenzar a jugar y entrenar la replicación de patrones.</t>
  </si>
  <si>
    <t>acceso a la actividad en la tarea "Los Secretos del Chef" de la organización de químicos en sus propios tubos de ensayo, con instrucciones claras, estímulos visuales y auditivos</t>
  </si>
  <si>
    <t>para comenzar a jugar y entrenar la resolución de problemas.</t>
  </si>
  <si>
    <t>acceso a las preguntas en la tarea "Clonación" de opción múltiple, con instrucciones claras, estímulos visuales y auditivos</t>
  </si>
  <si>
    <t>para comenzar a jugar y entrenar el razonamiento lógico.</t>
  </si>
  <si>
    <t>acceso a las preguntas en la tarea "Clonación" de las que se requiere digitar una respuesta, con instrucciones claras, estímulos visuales y auditivos</t>
  </si>
  <si>
    <t>acceso a las preguntas en la tarea "Clonación" de las que se requiere mover objetos a cierta posición, con instrucciones claras, estímulos visuales y auditivos</t>
  </si>
  <si>
    <t>acceso a la actividad en la tarea "Todo en Orden" estilo "Tetris", con instrucciones claras, estímulos visuales y auditivos</t>
  </si>
  <si>
    <t>acceso a la actividad en la tarea "Todo en Orden" en la que se requiere hacer operaciones aritméticas para obtener cierto número</t>
  </si>
  <si>
    <t>acceso a la actividad en la tarea "Todo en Orden" en la que se requiere buscar la secuencia correcta de colores en 8 intentos</t>
  </si>
  <si>
    <t>registrar la respuesta de un estudiante</t>
  </si>
  <si>
    <t>finalizar una tarea específica</t>
  </si>
  <si>
    <t>finalizar una actividad específica</t>
  </si>
  <si>
    <t>finalizar el entrenamiento del estudiante</t>
  </si>
  <si>
    <t>calcular cada uno de los resultados del estudiante</t>
  </si>
  <si>
    <t>generar informe por medio de un archivo Excel</t>
  </si>
  <si>
    <t>para luego determinar los pasos a seguir para mejorar el razonamiento lógico-cuantitativo del estudiante.</t>
  </si>
  <si>
    <t>M</t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</si>
  <si>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saltar a la opción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</si>
  <si>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iniciado la actividad,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muestra las instrucciones claras sobre cómo jugar,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puede entender las reglas del juego y comenzar a resolver los estímulos.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</si>
  <si>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</si>
  <si>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escojer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</si>
  <si>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digitar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</si>
  <si>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mover objetos en su respuesta correcta antes de que se agote el tiempo, o perderá una vida.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</si>
  <si>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está en la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se le presenta un estímulo con un tiempo limitado para resolverlo,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estudiante debe resolver el rompecabezas sin llenar el espacio antes de que acabe el tiempo, o perderá una vida.</t>
    </r>
  </si>
  <si>
    <r>
      <t xml:space="preserve">Dado </t>
    </r>
    <r>
      <rPr>
        <sz val="11"/>
        <color rgb="FF000000"/>
        <rFont val="Calibri"/>
        <family val="2"/>
      </rPr>
      <t>que el estudiante ha enviado una respuesta correcta,</t>
    </r>
    <r>
      <rPr>
        <b/>
        <sz val="11"/>
        <color rgb="FF000000"/>
        <rFont val="Calibri"/>
        <family val="2"/>
      </rPr>
      <t xml:space="preserve"> cuando</t>
    </r>
    <r>
      <rPr>
        <sz val="11"/>
        <color rgb="FF000000"/>
        <rFont val="Calibri"/>
        <family val="2"/>
      </rPr>
      <t xml:space="preserve"> el sistema verifica la respuesta,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suena un sonido afirmativo.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</si>
  <si>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estudiante ha enviado una respuesta incorrecta,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el sistema verifica la respuesta,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suena un sonido no afirmativo.</t>
    </r>
  </si>
  <si>
    <t>poder ingresar a cualquiera de las Tareas existentes y comenzar el entrenamiento.</t>
  </si>
  <si>
    <t>para verificar si la respuesta fue correcta o no.</t>
  </si>
  <si>
    <t>para continuar a la tarea siguiente.</t>
  </si>
  <si>
    <t>para iniciar el proceso de generación de informe.</t>
  </si>
  <si>
    <t>para iniciar el proceso de revisión.</t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</si>
  <si>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todos los estímulos y niveles de una tarea,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los resultados se terminan de mostrar,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el sistema marca la tarea como completada y permite avanzar a la siguiente tarea.</t>
    </r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</si>
  <si>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todas las tareas,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los resultados se terminan de mostrar,</t>
    </r>
    <r>
      <rPr>
        <b/>
        <sz val="11"/>
        <color rgb="FF000000"/>
        <rFont val="Calibri"/>
        <family val="2"/>
      </rPr>
      <t xml:space="preserve"> entonces</t>
    </r>
    <r>
      <rPr>
        <sz val="11"/>
        <color rgb="FF000000"/>
        <rFont val="Calibri"/>
        <family val="2"/>
      </rPr>
      <t xml:space="preserve"> se completa la variable de Razonamiento Cuantitativo y se regresa al menu principal del Componente Base.</t>
    </r>
  </si>
  <si>
    <t>Finalizar Actividad</t>
  </si>
  <si>
    <t>para continuar al siguiente estimulo con diferente actividad.</t>
  </si>
  <si>
    <r>
      <t xml:space="preserve">Dado </t>
    </r>
    <r>
      <rPr>
        <sz val="11"/>
        <color rgb="FF000000"/>
        <rFont val="Calibri"/>
        <family val="2"/>
      </rPr>
      <t xml:space="preserve">que el estudiante ha completado todos los estimulos de cierta actividad, </t>
    </r>
    <r>
      <rPr>
        <b/>
        <sz val="11"/>
        <color rgb="FF000000"/>
        <rFont val="Calibri"/>
        <family val="2"/>
      </rPr>
      <t>cuando</t>
    </r>
    <r>
      <rPr>
        <sz val="11"/>
        <color rgb="FF000000"/>
        <rFont val="Calibri"/>
        <family val="2"/>
      </rPr>
      <t xml:space="preserve"> el sistema va a abrir el siguiente estímulo, </t>
    </r>
    <r>
      <rPr>
        <b/>
        <sz val="11"/>
        <color rgb="FF000000"/>
        <rFont val="Calibri"/>
        <family val="2"/>
      </rPr>
      <t>entonces</t>
    </r>
    <r>
      <rPr>
        <sz val="11"/>
        <color rgb="FF000000"/>
        <rFont val="Calibri"/>
        <family val="2"/>
      </rPr>
      <t xml:space="preserve"> se inicia la nueva actividad.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</si>
  <si>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pide la generacion de un informe,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se active la generacion del informe,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sistema automáticamente genera un archivo XLSX que contiene cualquier dato importante (por ejemplo, tareas completadas) para su pronta revisión.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</si>
  <si>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ha pedido la finalizacion de una sesión,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finaliza la aplicación,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el sistema automáticamente inicia el cierre de la variable.</t>
    </r>
  </si>
  <si>
    <r>
      <rPr>
        <b/>
        <sz val="11"/>
        <color rgb="FF000000"/>
        <rFont val="Calibri"/>
        <family val="2"/>
      </rPr>
      <t xml:space="preserve">Dado </t>
    </r>
    <r>
      <rPr>
        <sz val="11"/>
        <color rgb="FF000000"/>
        <rFont val="Calibri"/>
        <family val="2"/>
      </rPr>
      <t xml:space="preserve">que el entrenador ha finalizado la sesion de un estudiante, </t>
    </r>
    <r>
      <rPr>
        <b/>
        <sz val="11"/>
        <color rgb="FF000000"/>
        <rFont val="Calibri"/>
        <family val="2"/>
      </rPr>
      <t xml:space="preserve">cuando </t>
    </r>
    <r>
      <rPr>
        <sz val="11"/>
        <color rgb="FF000000"/>
        <rFont val="Calibri"/>
        <family val="2"/>
      </rPr>
      <t xml:space="preserve">finaliza la aplicación, </t>
    </r>
    <r>
      <rPr>
        <b/>
        <sz val="11"/>
        <color rgb="FF000000"/>
        <rFont val="Calibri"/>
        <family val="2"/>
      </rPr>
      <t xml:space="preserve">entonces </t>
    </r>
    <r>
      <rPr>
        <sz val="11"/>
        <color rgb="FF000000"/>
        <rFont val="Calibri"/>
        <family val="2"/>
      </rPr>
      <t>se calcula la informacion para preparar su pronta generación.</t>
    </r>
  </si>
  <si>
    <t>Épica 1 - Sesión Estudiante</t>
  </si>
  <si>
    <t>Épica 2 - El Suelo es Lava</t>
  </si>
  <si>
    <t>Épica 3 - Los Secretos del Chef</t>
  </si>
  <si>
    <t>Épica 4 - Clonacion</t>
  </si>
  <si>
    <t>Épica 5 - Todo en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</si>
</sst>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u/>
      <sz val="10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0" fillId="0" borderId="0" applyNumberFormat="0" applyFill="0" applyBorder="0" applyAlignment="0" applyProtection="0"/>
    <xf numFmtId="0" fontId="2" fillId="0" borderId="1"/>
    <xf numFmtId="0" fontId="10" fillId="0" borderId="1" applyNumberFormat="0" applyFill="0" applyBorder="0" applyAlignment="0" applyProtection="0"/>
    <xf numFmtId="0" fontId="10" fillId="0" borderId="1" applyNumberFormat="0" applyFill="0" applyBorder="0" applyAlignment="0" applyProtection="0"/>
  </cellStyleXfs>
  <cellXfs count="146">
    <xf numFmtId="0" fontId="0" fillId="0" borderId="0" xfId="0"/>
    <xf numFmtId="0" fontId="4" fillId="0" borderId="0" xfId="0" applyFont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/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6" xfId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20" fillId="0" borderId="2" xfId="0" applyFont="1" applyBorder="1"/>
    <xf numFmtId="0" fontId="15" fillId="0" borderId="2" xfId="0" applyFont="1" applyBorder="1"/>
    <xf numFmtId="0" fontId="20" fillId="0" borderId="2" xfId="0" applyFont="1" applyBorder="1" applyAlignment="1">
      <alignment horizontal="center"/>
    </xf>
    <xf numFmtId="0" fontId="5" fillId="9" borderId="2" xfId="0" applyFont="1" applyFill="1" applyBorder="1"/>
    <xf numFmtId="0" fontId="5" fillId="10" borderId="2" xfId="0" applyFont="1" applyFill="1" applyBorder="1"/>
    <xf numFmtId="0" fontId="5" fillId="8" borderId="2" xfId="0" applyFont="1" applyFill="1" applyBorder="1"/>
    <xf numFmtId="0" fontId="5" fillId="11" borderId="2" xfId="0" applyFont="1" applyFill="1" applyBorder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0" fillId="0" borderId="1" xfId="3" applyBorder="1" applyAlignment="1">
      <alignment vertical="center"/>
    </xf>
    <xf numFmtId="0" fontId="18" fillId="9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left" vertical="center" wrapText="1"/>
    </xf>
    <xf numFmtId="0" fontId="21" fillId="14" borderId="6" xfId="0" applyFont="1" applyFill="1" applyBorder="1" applyAlignment="1">
      <alignment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10" fillId="9" borderId="6" xfId="1" applyFill="1" applyBorder="1" applyAlignment="1">
      <alignment vertical="center" wrapText="1"/>
    </xf>
    <xf numFmtId="0" fontId="10" fillId="11" borderId="6" xfId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18" fillId="11" borderId="0" xfId="0" applyFont="1" applyFill="1"/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0" fillId="0" borderId="8" xfId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 wrapText="1"/>
    </xf>
    <xf numFmtId="0" fontId="17" fillId="10" borderId="4" xfId="0" applyFont="1" applyFill="1" applyBorder="1"/>
    <xf numFmtId="0" fontId="17" fillId="10" borderId="5" xfId="0" applyFont="1" applyFill="1" applyBorder="1"/>
    <xf numFmtId="0" fontId="10" fillId="8" borderId="15" xfId="1" applyFill="1" applyBorder="1" applyAlignment="1">
      <alignment horizontal="left" vertical="center" wrapText="1"/>
    </xf>
    <xf numFmtId="0" fontId="10" fillId="8" borderId="16" xfId="1" applyFill="1" applyBorder="1" applyAlignment="1">
      <alignment horizontal="left" vertical="center" wrapText="1"/>
    </xf>
    <xf numFmtId="0" fontId="18" fillId="8" borderId="17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18" fillId="9" borderId="21" xfId="0" applyFont="1" applyFill="1" applyBorder="1" applyAlignment="1">
      <alignment horizontal="center" vertical="center" wrapText="1"/>
    </xf>
    <xf numFmtId="0" fontId="0" fillId="11" borderId="19" xfId="0" applyFill="1" applyBorder="1" applyAlignment="1">
      <alignment vertical="center"/>
    </xf>
    <xf numFmtId="0" fontId="0" fillId="11" borderId="20" xfId="0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0" fillId="0" borderId="11" xfId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0" borderId="6" xfId="1" applyBorder="1" applyAlignment="1">
      <alignment horizontal="left" vertical="center" wrapText="1"/>
    </xf>
    <xf numFmtId="0" fontId="10" fillId="0" borderId="2" xfId="1" applyBorder="1" applyAlignment="1">
      <alignment horizontal="left" vertical="center" wrapText="1"/>
    </xf>
    <xf numFmtId="0" fontId="10" fillId="0" borderId="7" xfId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8" fillId="12" borderId="2" xfId="0" applyFont="1" applyFill="1" applyBorder="1" applyAlignment="1">
      <alignment horizontal="left" vertical="center" wrapText="1"/>
    </xf>
    <xf numFmtId="0" fontId="10" fillId="12" borderId="17" xfId="1" applyFill="1" applyBorder="1" applyAlignment="1">
      <alignment vertical="center" wrapText="1"/>
    </xf>
    <xf numFmtId="0" fontId="10" fillId="12" borderId="21" xfId="1" applyFill="1" applyBorder="1" applyAlignment="1">
      <alignment vertical="center" wrapText="1"/>
    </xf>
    <xf numFmtId="0" fontId="10" fillId="12" borderId="18" xfId="1" applyFill="1" applyBorder="1" applyAlignment="1">
      <alignment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8" borderId="17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15" borderId="17" xfId="0" applyFont="1" applyFill="1" applyBorder="1" applyAlignment="1">
      <alignment horizontal="center" vertical="center" wrapText="1"/>
    </xf>
    <xf numFmtId="0" fontId="18" fillId="15" borderId="21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24" fillId="8" borderId="6" xfId="1" applyFont="1" applyFill="1" applyBorder="1"/>
    <xf numFmtId="0" fontId="0" fillId="8" borderId="7" xfId="0" applyFill="1" applyBorder="1" applyAlignment="1">
      <alignment vertical="center"/>
    </xf>
    <xf numFmtId="0" fontId="24" fillId="9" borderId="6" xfId="1" applyFont="1" applyFill="1" applyBorder="1" applyAlignment="1">
      <alignment horizontal="left" vertical="center" wrapText="1"/>
    </xf>
    <xf numFmtId="0" fontId="0" fillId="9" borderId="7" xfId="0" applyFill="1" applyBorder="1" applyAlignment="1">
      <alignment vertical="center"/>
    </xf>
    <xf numFmtId="0" fontId="24" fillId="11" borderId="6" xfId="1" applyFont="1" applyFill="1" applyBorder="1" applyAlignment="1">
      <alignment horizontal="left" vertical="center" wrapText="1"/>
    </xf>
    <xf numFmtId="0" fontId="0" fillId="11" borderId="22" xfId="0" applyFill="1" applyBorder="1" applyAlignment="1">
      <alignment vertical="center"/>
    </xf>
    <xf numFmtId="0" fontId="24" fillId="15" borderId="6" xfId="1" applyFont="1" applyFill="1" applyBorder="1" applyAlignment="1">
      <alignment horizontal="left" vertical="center" wrapText="1"/>
    </xf>
    <xf numFmtId="0" fontId="0" fillId="15" borderId="19" xfId="0" applyFill="1" applyBorder="1" applyAlignment="1">
      <alignment vertical="center"/>
    </xf>
    <xf numFmtId="0" fontId="0" fillId="15" borderId="22" xfId="0" applyFill="1" applyBorder="1" applyAlignment="1">
      <alignment vertical="center"/>
    </xf>
    <xf numFmtId="0" fontId="24" fillId="15" borderId="8" xfId="1" applyFont="1" applyFill="1" applyBorder="1" applyAlignment="1">
      <alignment horizontal="left" vertical="center" wrapText="1"/>
    </xf>
    <xf numFmtId="0" fontId="18" fillId="15" borderId="27" xfId="0" applyFont="1" applyFill="1" applyBorder="1" applyAlignment="1">
      <alignment horizontal="center" vertical="center" wrapText="1"/>
    </xf>
    <xf numFmtId="0" fontId="0" fillId="15" borderId="28" xfId="0" applyFill="1" applyBorder="1" applyAlignment="1">
      <alignment vertical="center"/>
    </xf>
  </cellXfs>
  <cellStyles count="5">
    <cellStyle name="Hipervínculo" xfId="1" builtinId="8"/>
    <cellStyle name="Hipervínculo 2" xfId="3" xr:uid="{540E27F3-0EF6-4194-AF65-722B4580D351}"/>
    <cellStyle name="Hyperlink" xfId="4" xr:uid="{116AF2CA-DA8A-4E57-9ABA-A983D4749BD8}"/>
    <cellStyle name="Normal" xfId="0" builtinId="0"/>
    <cellStyle name="Normal 2" xfId="2" xr:uid="{BAFCFAA7-E5D7-409C-96D1-CEA37B66E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42578125" defaultRowHeight="15" customHeight="1" x14ac:dyDescent="0.25"/>
  <cols>
    <col min="1" max="1" width="7.7109375" bestFit="1" customWidth="1"/>
    <col min="2" max="2" width="13" bestFit="1" customWidth="1"/>
    <col min="3" max="6" width="16.28515625" bestFit="1" customWidth="1"/>
    <col min="7" max="7" width="13.85546875" bestFit="1" customWidth="1"/>
    <col min="8" max="8" width="16.28515625" bestFit="1" customWidth="1"/>
    <col min="9" max="9" width="13.85546875" bestFit="1" customWidth="1"/>
    <col min="10" max="26" width="10.7109375" customWidth="1"/>
  </cols>
  <sheetData>
    <row r="1" spans="1:7" ht="15" customHeight="1" x14ac:dyDescent="0.25">
      <c r="B1" s="26" t="s">
        <v>66</v>
      </c>
      <c r="C1" s="26" t="s">
        <v>65</v>
      </c>
      <c r="D1" s="27" t="s">
        <v>7</v>
      </c>
      <c r="E1" s="27" t="s">
        <v>14</v>
      </c>
      <c r="F1" s="27" t="s">
        <v>15</v>
      </c>
      <c r="G1" s="27" t="s">
        <v>13</v>
      </c>
    </row>
    <row r="2" spans="1:7" x14ac:dyDescent="0.25">
      <c r="A2" s="25" t="s">
        <v>7</v>
      </c>
      <c r="B2" s="28" t="s">
        <v>62</v>
      </c>
      <c r="C2" s="28" t="s">
        <v>63</v>
      </c>
      <c r="D2" s="28" t="s">
        <v>64</v>
      </c>
      <c r="E2" s="24"/>
      <c r="F2" s="24"/>
      <c r="G2" s="24"/>
    </row>
    <row r="3" spans="1:7" x14ac:dyDescent="0.25">
      <c r="A3" s="25" t="s">
        <v>14</v>
      </c>
      <c r="B3" s="24"/>
      <c r="C3" s="29" t="s">
        <v>62</v>
      </c>
      <c r="D3" s="29" t="s">
        <v>63</v>
      </c>
      <c r="E3" s="29" t="s">
        <v>64</v>
      </c>
      <c r="F3" s="24"/>
      <c r="G3" s="24"/>
    </row>
    <row r="4" spans="1:7" x14ac:dyDescent="0.25">
      <c r="A4" s="25" t="s">
        <v>15</v>
      </c>
      <c r="B4" s="24"/>
      <c r="C4" s="24"/>
      <c r="D4" s="30" t="s">
        <v>62</v>
      </c>
      <c r="E4" s="30" t="s">
        <v>63</v>
      </c>
      <c r="F4" s="30" t="s">
        <v>64</v>
      </c>
      <c r="G4" s="24"/>
    </row>
    <row r="5" spans="1:7" x14ac:dyDescent="0.25">
      <c r="A5" s="25" t="s">
        <v>13</v>
      </c>
      <c r="B5" s="24"/>
      <c r="C5" s="24"/>
      <c r="D5" s="24"/>
      <c r="E5" s="31" t="s">
        <v>62</v>
      </c>
      <c r="F5" s="31" t="s">
        <v>63</v>
      </c>
      <c r="G5" s="31" t="s">
        <v>64</v>
      </c>
    </row>
    <row r="6" spans="1:7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6"/>
  <sheetViews>
    <sheetView tabSelected="1" zoomScale="80" zoomScaleNormal="80" workbookViewId="0">
      <pane ySplit="1" topLeftCell="A2" activePane="bottomLeft" state="frozen"/>
      <selection pane="bottomLeft"/>
    </sheetView>
  </sheetViews>
  <sheetFormatPr baseColWidth="10" defaultColWidth="14.42578125" defaultRowHeight="15" customHeight="1" x14ac:dyDescent="0.25"/>
  <cols>
    <col min="1" max="1" width="17" style="13" bestFit="1" customWidth="1"/>
    <col min="2" max="2" width="39.140625" style="13" customWidth="1"/>
    <col min="3" max="3" width="42.7109375" style="13" customWidth="1"/>
    <col min="4" max="4" width="47.140625" style="13" customWidth="1"/>
    <col min="5" max="5" width="38.28515625" style="13" bestFit="1" customWidth="1"/>
    <col min="6" max="6" width="47.85546875" style="13" bestFit="1" customWidth="1"/>
    <col min="7" max="7" width="60.42578125" style="13" bestFit="1" customWidth="1"/>
    <col min="8" max="8" width="65.7109375" style="13" customWidth="1"/>
    <col min="9" max="9" width="9.7109375" style="13" bestFit="1" customWidth="1"/>
    <col min="10" max="10" width="27.140625" style="13" bestFit="1" customWidth="1"/>
    <col min="11" max="11" width="20.28515625" style="13" bestFit="1" customWidth="1"/>
    <col min="12" max="12" width="19.5703125" style="13" bestFit="1" customWidth="1"/>
    <col min="13" max="13" width="9.140625" style="13" bestFit="1" customWidth="1"/>
    <col min="14" max="24" width="10.7109375" style="13" customWidth="1"/>
    <col min="25" max="16384" width="14.42578125" style="13"/>
  </cols>
  <sheetData>
    <row r="1" spans="1:13" x14ac:dyDescent="0.25">
      <c r="A1" s="19" t="s">
        <v>4</v>
      </c>
      <c r="B1" s="20" t="s">
        <v>53</v>
      </c>
      <c r="C1" s="21" t="s">
        <v>16</v>
      </c>
      <c r="D1" s="21" t="s">
        <v>17</v>
      </c>
      <c r="E1" s="21" t="s">
        <v>18</v>
      </c>
      <c r="F1" s="21" t="s">
        <v>19</v>
      </c>
      <c r="G1" s="20" t="s">
        <v>20</v>
      </c>
      <c r="H1" s="21" t="s">
        <v>21</v>
      </c>
      <c r="I1" s="21" t="s">
        <v>22</v>
      </c>
      <c r="J1" s="20" t="s">
        <v>56</v>
      </c>
      <c r="K1" s="20" t="s">
        <v>57</v>
      </c>
      <c r="L1" s="20" t="s">
        <v>58</v>
      </c>
      <c r="M1" s="22" t="s">
        <v>59</v>
      </c>
    </row>
    <row r="2" spans="1:13" ht="60" x14ac:dyDescent="0.25">
      <c r="A2" s="18" t="s">
        <v>6</v>
      </c>
      <c r="B2" s="45" t="s">
        <v>108</v>
      </c>
      <c r="C2" s="45" t="s">
        <v>94</v>
      </c>
      <c r="D2" s="14" t="str">
        <f>A2&amp;"-"&amp;C2</f>
        <v>HU1-Iniciar Juego - Plataformas</v>
      </c>
      <c r="E2" s="15" t="s">
        <v>72</v>
      </c>
      <c r="F2" s="15" t="s">
        <v>118</v>
      </c>
      <c r="G2" s="15" t="s">
        <v>119</v>
      </c>
      <c r="H2" s="14" t="str">
        <f>"Como "&amp;E2&amp;", necesito "&amp;F2&amp;", para "&amp;G2</f>
        <v>Como Estudiante, necesito acceso a la actividad en la tarea "El Suelo es Lava" de plataformas, con instrucciones claras, estímulos visuales y auditivos, para para comenzar a jugar y entrenar el reconocimiento de patrones.</v>
      </c>
      <c r="I2" s="23" t="s">
        <v>60</v>
      </c>
      <c r="J2" s="16">
        <v>5</v>
      </c>
      <c r="K2" s="48"/>
      <c r="L2" s="48"/>
      <c r="M2" s="17">
        <v>1</v>
      </c>
    </row>
    <row r="3" spans="1:13" ht="60" x14ac:dyDescent="0.25">
      <c r="A3" s="18" t="s">
        <v>8</v>
      </c>
      <c r="B3" s="45" t="s">
        <v>109</v>
      </c>
      <c r="C3" s="45" t="s">
        <v>95</v>
      </c>
      <c r="D3" s="14" t="str">
        <f t="shared" ref="D3:D16" si="0">A3&amp;"-"&amp;C3</f>
        <v>HU2-Iniciar Juego - Mezclar Químicos</v>
      </c>
      <c r="E3" s="15" t="s">
        <v>72</v>
      </c>
      <c r="F3" s="15" t="s">
        <v>120</v>
      </c>
      <c r="G3" s="15" t="s">
        <v>121</v>
      </c>
      <c r="H3" s="14" t="str">
        <f>"Como "&amp;E3&amp;", necesito "&amp;F3&amp;", "&amp;G3</f>
        <v>Como Estudiante, necesito acceso a la actividad en la tarea "Los Secretos del Chef" de la mezcla de químicos, con instrucciones claras, estímulos visuales y auditivos, para comenzar a jugar y entrenar la replicación de patrones.</v>
      </c>
      <c r="I3" s="23" t="s">
        <v>60</v>
      </c>
      <c r="J3" s="16">
        <v>3</v>
      </c>
      <c r="K3" s="48"/>
      <c r="L3" s="48"/>
      <c r="M3" s="17">
        <v>5</v>
      </c>
    </row>
    <row r="4" spans="1:13" ht="76.5" customHeight="1" x14ac:dyDescent="0.25">
      <c r="A4" s="18" t="s">
        <v>9</v>
      </c>
      <c r="B4" s="45" t="s">
        <v>110</v>
      </c>
      <c r="C4" s="45" t="s">
        <v>96</v>
      </c>
      <c r="D4" s="14" t="str">
        <f t="shared" si="0"/>
        <v>HU3-Iniciar Juego - Organizar Químicos</v>
      </c>
      <c r="E4" s="15" t="s">
        <v>72</v>
      </c>
      <c r="F4" s="15" t="s">
        <v>122</v>
      </c>
      <c r="G4" s="15" t="s">
        <v>123</v>
      </c>
      <c r="H4" s="14" t="str">
        <f>"Como "&amp;E4&amp;", necesito "&amp;F4&amp;", "&amp;G4</f>
        <v>Como Estudiante, necesito acceso a la actividad en la tarea "Los Secretos del Chef" de la organización de químicos en sus propios tubos de ensayo, con instrucciones claras, estímulos visuales y auditivos, para comenzar a jugar y entrenar la resolución de problemas.</v>
      </c>
      <c r="I4" s="23" t="s">
        <v>60</v>
      </c>
      <c r="J4" s="16">
        <v>3</v>
      </c>
      <c r="K4" s="48"/>
      <c r="L4" s="48"/>
      <c r="M4" s="17">
        <v>6</v>
      </c>
    </row>
    <row r="5" spans="1:13" ht="60" x14ac:dyDescent="0.25">
      <c r="A5" s="18" t="s">
        <v>10</v>
      </c>
      <c r="B5" s="45" t="s">
        <v>111</v>
      </c>
      <c r="C5" s="45" t="s">
        <v>97</v>
      </c>
      <c r="D5" s="14" t="str">
        <f t="shared" si="0"/>
        <v>HU4-Iniciar Juego - Cuestionario Opción Múltiple</v>
      </c>
      <c r="E5" s="15" t="s">
        <v>72</v>
      </c>
      <c r="F5" s="15" t="s">
        <v>124</v>
      </c>
      <c r="G5" s="15" t="s">
        <v>125</v>
      </c>
      <c r="H5" s="14" t="str">
        <f>"Como "&amp;E5&amp;", necesito "&amp;F5&amp;", "&amp;G5</f>
        <v>Como Estudiante, necesito acceso a las preguntas en la tarea "Clonación" de opción múltiple, con instrucciones claras, estímulos visuales y auditivos, para comenzar a jugar y entrenar el razonamiento lógico.</v>
      </c>
      <c r="I5" s="23" t="s">
        <v>60</v>
      </c>
      <c r="J5" s="16">
        <v>2</v>
      </c>
      <c r="K5" s="48"/>
      <c r="L5" s="48"/>
      <c r="M5" s="17">
        <v>7</v>
      </c>
    </row>
    <row r="6" spans="1:13" ht="81.75" customHeight="1" x14ac:dyDescent="0.25">
      <c r="A6" s="18" t="s">
        <v>11</v>
      </c>
      <c r="B6" s="45" t="s">
        <v>112</v>
      </c>
      <c r="C6" s="45" t="s">
        <v>98</v>
      </c>
      <c r="D6" s="14" t="str">
        <f t="shared" si="0"/>
        <v>HU5-Iniciar Juego - Cuestionario Digitar Respuesta</v>
      </c>
      <c r="E6" s="15" t="s">
        <v>72</v>
      </c>
      <c r="F6" s="15" t="s">
        <v>126</v>
      </c>
      <c r="G6" s="15" t="s">
        <v>148</v>
      </c>
      <c r="H6" s="14" t="str">
        <f t="shared" ref="H6" si="1">"Como "&amp;E6&amp;", necesito "&amp;F6&amp;", para "&amp;G6</f>
        <v>Como Estudiante, necesito acceso a las preguntas en la tarea "Clonación" de las que se requiere digitar una respuesta, con instrucciones claras, estímulos visuales y auditivos, para poder ingresar a cualquiera de las Tareas existentes y comenzar el entrenamiento.</v>
      </c>
      <c r="I6" s="23" t="s">
        <v>60</v>
      </c>
      <c r="J6" s="16">
        <v>2</v>
      </c>
      <c r="K6" s="48"/>
      <c r="L6" s="48"/>
      <c r="M6" s="17">
        <v>8</v>
      </c>
    </row>
    <row r="7" spans="1:13" ht="60" x14ac:dyDescent="0.25">
      <c r="A7" s="18" t="s">
        <v>12</v>
      </c>
      <c r="B7" s="45" t="s">
        <v>113</v>
      </c>
      <c r="C7" s="45" t="s">
        <v>99</v>
      </c>
      <c r="D7" s="14" t="str">
        <f t="shared" si="0"/>
        <v>HU6-Iniciar Juego - Cuestionario Mover Objetos</v>
      </c>
      <c r="E7" s="15" t="s">
        <v>72</v>
      </c>
      <c r="F7" s="50" t="s">
        <v>127</v>
      </c>
      <c r="G7" s="15" t="s">
        <v>125</v>
      </c>
      <c r="H7" s="14" t="str">
        <f t="shared" ref="H7:H9" si="2">"Como "&amp;E7&amp;", necesito "&amp;F7&amp;", "&amp;G7</f>
        <v>Como Estudiante, necesito acceso a las preguntas en la tarea "Clonación" de las que se requiere mover objetos a cierta posición, con instrucciones claras, estímulos visuales y auditivos, para comenzar a jugar y entrenar el razonamiento lógico.</v>
      </c>
      <c r="I7" s="23" t="s">
        <v>60</v>
      </c>
      <c r="J7" s="16">
        <v>2</v>
      </c>
      <c r="K7" s="48"/>
      <c r="L7" s="48"/>
      <c r="M7" s="17">
        <v>9</v>
      </c>
    </row>
    <row r="8" spans="1:13" ht="62.25" customHeight="1" x14ac:dyDescent="0.25">
      <c r="A8" s="18" t="s">
        <v>85</v>
      </c>
      <c r="B8" s="49" t="s">
        <v>114</v>
      </c>
      <c r="C8" s="49" t="s">
        <v>100</v>
      </c>
      <c r="D8" s="14" t="str">
        <f t="shared" si="0"/>
        <v>HU7-Iniciar Juego - Tetris</v>
      </c>
      <c r="E8" s="15" t="s">
        <v>72</v>
      </c>
      <c r="F8" s="50" t="s">
        <v>128</v>
      </c>
      <c r="G8" s="50" t="s">
        <v>125</v>
      </c>
      <c r="H8" s="14" t="str">
        <f t="shared" si="2"/>
        <v>Como Estudiante, necesito acceso a la actividad en la tarea "Todo en Orden" estilo "Tetris", con instrucciones claras, estímulos visuales y auditivos, para comenzar a jugar y entrenar el razonamiento lógico.</v>
      </c>
      <c r="I8" s="23" t="s">
        <v>60</v>
      </c>
      <c r="J8" s="16">
        <v>5</v>
      </c>
      <c r="K8" s="48"/>
      <c r="L8" s="48"/>
      <c r="M8" s="17">
        <v>10</v>
      </c>
    </row>
    <row r="9" spans="1:13" ht="60" x14ac:dyDescent="0.25">
      <c r="A9" s="18" t="s">
        <v>86</v>
      </c>
      <c r="B9" s="49" t="s">
        <v>115</v>
      </c>
      <c r="C9" s="49" t="s">
        <v>101</v>
      </c>
      <c r="D9" s="14" t="str">
        <f t="shared" si="0"/>
        <v>HU8-Iniciar Juego - Combinación Matemática</v>
      </c>
      <c r="E9" s="15" t="s">
        <v>72</v>
      </c>
      <c r="F9" s="50" t="s">
        <v>129</v>
      </c>
      <c r="G9" s="50" t="s">
        <v>123</v>
      </c>
      <c r="H9" s="14" t="str">
        <f t="shared" si="2"/>
        <v>Como Estudiante, necesito acceso a la actividad en la tarea "Todo en Orden" en la que se requiere hacer operaciones aritméticas para obtener cierto número, para comenzar a jugar y entrenar la resolución de problemas.</v>
      </c>
      <c r="I9" s="23" t="s">
        <v>60</v>
      </c>
      <c r="J9" s="16">
        <v>5</v>
      </c>
      <c r="K9" s="48"/>
      <c r="L9" s="48"/>
      <c r="M9" s="17">
        <v>11</v>
      </c>
    </row>
    <row r="10" spans="1:13" ht="60" x14ac:dyDescent="0.25">
      <c r="A10" s="18" t="s">
        <v>87</v>
      </c>
      <c r="B10" s="49" t="s">
        <v>116</v>
      </c>
      <c r="C10" s="49" t="s">
        <v>102</v>
      </c>
      <c r="D10" s="14" t="str">
        <f t="shared" si="0"/>
        <v>HU9-Iniciar Juego - Hallar Patrón</v>
      </c>
      <c r="E10" s="15" t="s">
        <v>72</v>
      </c>
      <c r="F10" s="50" t="s">
        <v>130</v>
      </c>
      <c r="G10" s="50" t="s">
        <v>123</v>
      </c>
      <c r="H10" s="14" t="str">
        <f t="shared" ref="H10" si="3">"Como "&amp;E10&amp;", necesito "&amp;F10&amp;", para "&amp;G10</f>
        <v>Como Estudiante, necesito acceso a la actividad en la tarea "Todo en Orden" en la que se requiere buscar la secuencia correcta de colores en 8 intentos, para para comenzar a jugar y entrenar la resolución de problemas.</v>
      </c>
      <c r="I10" s="23" t="s">
        <v>60</v>
      </c>
      <c r="J10" s="16">
        <v>5</v>
      </c>
      <c r="K10" s="48"/>
      <c r="L10" s="48"/>
      <c r="M10" s="17">
        <v>12</v>
      </c>
    </row>
    <row r="11" spans="1:13" ht="46.5" customHeight="1" x14ac:dyDescent="0.25">
      <c r="A11" s="18" t="s">
        <v>88</v>
      </c>
      <c r="B11" s="49" t="s">
        <v>103</v>
      </c>
      <c r="C11" s="49" t="s">
        <v>103</v>
      </c>
      <c r="D11" s="14" t="str">
        <f t="shared" si="0"/>
        <v>HU10-Registrar Respuesta</v>
      </c>
      <c r="E11" s="15" t="s">
        <v>72</v>
      </c>
      <c r="F11" s="50" t="s">
        <v>131</v>
      </c>
      <c r="G11" s="116" t="s">
        <v>149</v>
      </c>
      <c r="H11" s="14" t="str">
        <f t="shared" ref="H11:H16" si="4">"Como "&amp;E11&amp;", necesito "&amp;F11&amp;", "&amp;G11</f>
        <v>Como Estudiante, necesito registrar la respuesta de un estudiante, para verificar si la respuesta fue correcta o no.</v>
      </c>
      <c r="I11" s="23" t="s">
        <v>61</v>
      </c>
      <c r="J11" s="16">
        <v>7</v>
      </c>
      <c r="K11" s="48"/>
      <c r="L11" s="48"/>
      <c r="M11" s="17">
        <v>2</v>
      </c>
    </row>
    <row r="12" spans="1:13" ht="30" x14ac:dyDescent="0.25">
      <c r="A12" s="18" t="s">
        <v>89</v>
      </c>
      <c r="B12" s="49" t="s">
        <v>104</v>
      </c>
      <c r="C12" s="49" t="s">
        <v>104</v>
      </c>
      <c r="D12" s="14" t="str">
        <f t="shared" si="0"/>
        <v>HU11-Finalizar Tarea</v>
      </c>
      <c r="E12" s="15" t="s">
        <v>72</v>
      </c>
      <c r="F12" s="50" t="s">
        <v>132</v>
      </c>
      <c r="G12" s="116" t="s">
        <v>150</v>
      </c>
      <c r="H12" s="14" t="str">
        <f t="shared" si="4"/>
        <v>Como Estudiante, necesito finalizar una tarea específica, para continuar a la tarea siguiente.</v>
      </c>
      <c r="I12" s="23" t="s">
        <v>23</v>
      </c>
      <c r="J12" s="16">
        <v>2</v>
      </c>
      <c r="K12" s="48"/>
      <c r="L12" s="48"/>
      <c r="M12" s="17">
        <v>4</v>
      </c>
    </row>
    <row r="13" spans="1:13" ht="30" x14ac:dyDescent="0.25">
      <c r="A13" s="18" t="s">
        <v>90</v>
      </c>
      <c r="B13" s="45" t="s">
        <v>155</v>
      </c>
      <c r="C13" s="45" t="s">
        <v>155</v>
      </c>
      <c r="D13" s="14" t="str">
        <f t="shared" si="0"/>
        <v>HU12-Finalizar Actividad</v>
      </c>
      <c r="E13" s="15" t="s">
        <v>72</v>
      </c>
      <c r="F13" s="51" t="s">
        <v>133</v>
      </c>
      <c r="G13" s="116" t="s">
        <v>156</v>
      </c>
      <c r="H13" s="14" t="str">
        <f t="shared" si="4"/>
        <v>Como Estudiante, necesito finalizar una actividad específica, para continuar al siguiente estimulo con diferente actividad.</v>
      </c>
      <c r="I13" s="23" t="s">
        <v>23</v>
      </c>
      <c r="J13" s="16">
        <v>2</v>
      </c>
      <c r="K13" s="48"/>
      <c r="L13" s="48"/>
      <c r="M13" s="17">
        <v>3</v>
      </c>
    </row>
    <row r="14" spans="1:13" ht="30" x14ac:dyDescent="0.25">
      <c r="A14" s="18" t="s">
        <v>91</v>
      </c>
      <c r="B14" s="49" t="s">
        <v>105</v>
      </c>
      <c r="C14" s="49" t="s">
        <v>105</v>
      </c>
      <c r="D14" s="14" t="str">
        <f t="shared" si="0"/>
        <v>HU13-Finalizar Entrenamiento</v>
      </c>
      <c r="E14" s="15" t="s">
        <v>73</v>
      </c>
      <c r="F14" s="50" t="s">
        <v>134</v>
      </c>
      <c r="G14" s="116" t="s">
        <v>152</v>
      </c>
      <c r="H14" s="50" t="str">
        <f t="shared" si="4"/>
        <v>Como Entrenador, necesito finalizar el entrenamiento del estudiante, para iniciar el proceso de revisión.</v>
      </c>
      <c r="I14" s="16" t="s">
        <v>138</v>
      </c>
      <c r="J14" s="16">
        <v>3</v>
      </c>
      <c r="K14" s="48"/>
      <c r="L14" s="48"/>
      <c r="M14" s="17">
        <v>13</v>
      </c>
    </row>
    <row r="15" spans="1:13" ht="46.5" customHeight="1" x14ac:dyDescent="0.25">
      <c r="A15" s="18" t="s">
        <v>92</v>
      </c>
      <c r="B15" s="49" t="s">
        <v>106</v>
      </c>
      <c r="C15" s="49" t="s">
        <v>106</v>
      </c>
      <c r="D15" s="14" t="str">
        <f t="shared" si="0"/>
        <v>HU14-Calcular Resultados</v>
      </c>
      <c r="E15" s="15" t="s">
        <v>73</v>
      </c>
      <c r="F15" s="50" t="s">
        <v>135</v>
      </c>
      <c r="G15" s="116" t="s">
        <v>151</v>
      </c>
      <c r="H15" s="50" t="str">
        <f t="shared" si="4"/>
        <v>Como Entrenador, necesito calcular cada uno de los resultados del estudiante, para iniciar el proceso de generación de informe.</v>
      </c>
      <c r="I15" s="16" t="s">
        <v>138</v>
      </c>
      <c r="J15" s="16">
        <v>5</v>
      </c>
      <c r="K15" s="48"/>
      <c r="L15" s="48"/>
      <c r="M15" s="17">
        <v>14</v>
      </c>
    </row>
    <row r="16" spans="1:13" ht="47.25" customHeight="1" thickBot="1" x14ac:dyDescent="0.3">
      <c r="A16" s="52" t="s">
        <v>93</v>
      </c>
      <c r="B16" s="53" t="s">
        <v>117</v>
      </c>
      <c r="C16" s="53" t="s">
        <v>107</v>
      </c>
      <c r="D16" s="54" t="str">
        <f t="shared" si="0"/>
        <v>HU15-Generar Informe de Resultados de Sesión</v>
      </c>
      <c r="E16" s="55" t="s">
        <v>73</v>
      </c>
      <c r="F16" s="56" t="s">
        <v>136</v>
      </c>
      <c r="G16" s="56" t="s">
        <v>137</v>
      </c>
      <c r="H16" s="56" t="str">
        <f t="shared" si="4"/>
        <v>Como Entrenador, necesito generar informe por medio de un archivo Excel, para luego determinar los pasos a seguir para mejorar el razonamiento lógico-cuantitativo del estudiante.</v>
      </c>
      <c r="I16" s="57" t="s">
        <v>23</v>
      </c>
      <c r="J16" s="58">
        <v>5</v>
      </c>
      <c r="K16" s="59"/>
      <c r="L16" s="59"/>
      <c r="M16" s="60">
        <v>15</v>
      </c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</sheetData>
  <autoFilter ref="A1:AA1" xr:uid="{00000000-0001-0000-0100-000000000000}"/>
  <phoneticPr fontId="23" type="noConversion"/>
  <hyperlinks>
    <hyperlink ref="A2" location="'HU1'!A1" display="'HU1'!A1" xr:uid="{566836AA-0518-4B8E-B448-A729E2CD9314}"/>
    <hyperlink ref="A3" location="'HU2'!A1" display="HU2" xr:uid="{D6B39008-89BB-484F-BBB2-A7DC6D728F84}"/>
    <hyperlink ref="A4" location="'HU3'!A1" display="HU3" xr:uid="{6C455128-8108-4EDB-81DC-533DA1F2E7D2}"/>
    <hyperlink ref="A5" location="'HU4'!A1" display="HU4" xr:uid="{CED49F3E-9A2E-4D7A-A9B3-2E17F86D23C7}"/>
    <hyperlink ref="A6" location="'HU5'!A1" display="HU5" xr:uid="{C8F22CA9-8959-49AE-8D4C-C75338AAAE76}"/>
    <hyperlink ref="A7" location="'HU6'!A1" display="HU6" xr:uid="{96F6B2E8-324A-4B8B-B933-A86238A19ADE}"/>
    <hyperlink ref="A8" location="'HU1'!A1" display="'HU1'!A1" xr:uid="{8B5F5B28-9A28-43CB-A5CB-5476E2F3D59C}"/>
    <hyperlink ref="A14" location="'HU1'!A1" display="'HU1'!A1" xr:uid="{FB68BA5C-1963-4977-A3C5-007A2B0A8ABC}"/>
    <hyperlink ref="A9" location="'HU2'!A1" display="HU2" xr:uid="{91AA5C38-11EB-4353-B46F-51F8D3230290}"/>
    <hyperlink ref="A15" location="'HU2'!A1" display="HU2" xr:uid="{4894795D-0BBA-4F6A-BF9E-A1B030358EED}"/>
    <hyperlink ref="A10" location="'HU3'!A1" display="HU3" xr:uid="{38029EF4-B28A-4D15-BDBE-3B7ACE7D4565}"/>
    <hyperlink ref="A16" location="'HU6'!A1" display="HU6" xr:uid="{73250CA4-E5B9-4876-BB35-141C587B97AB}"/>
    <hyperlink ref="A11" location="'HU4'!A1" display="HU4" xr:uid="{93205F70-6A18-4484-A6DB-803C0851CEB5}"/>
    <hyperlink ref="A12" location="'HU5'!A1" display="HU5" xr:uid="{16420196-B936-4E53-903E-CE4C56421943}"/>
    <hyperlink ref="A13" location="'HU6'!A1" display="HU6" xr:uid="{2E1FCAD5-DFAB-456E-B141-BA52E5C31325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0"/>
  <sheetViews>
    <sheetView workbookViewId="0">
      <selection activeCell="A6" sqref="A6"/>
    </sheetView>
  </sheetViews>
  <sheetFormatPr baseColWidth="10" defaultColWidth="14.42578125" defaultRowHeight="15" customHeight="1" x14ac:dyDescent="0.2"/>
  <cols>
    <col min="1" max="1" width="17.28515625" style="12" customWidth="1"/>
    <col min="2" max="2" width="50.5703125" style="12" customWidth="1"/>
    <col min="3" max="3" width="24.42578125" style="12" customWidth="1"/>
    <col min="4" max="4" width="44.7109375" style="12" customWidth="1"/>
    <col min="5" max="5" width="25.42578125" style="12" customWidth="1"/>
    <col min="6" max="6" width="25.7109375" style="12" bestFit="1" customWidth="1"/>
    <col min="7" max="22" width="28" style="12" customWidth="1"/>
    <col min="23" max="16384" width="14.42578125" style="12"/>
  </cols>
  <sheetData>
    <row r="1" spans="1:22" ht="12.75" x14ac:dyDescent="0.2">
      <c r="A1" s="61" t="s">
        <v>0</v>
      </c>
      <c r="B1" s="62"/>
      <c r="C1" s="62"/>
      <c r="D1" s="62"/>
      <c r="E1" s="62"/>
      <c r="F1" s="6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2.75" x14ac:dyDescent="0.2">
      <c r="A2" s="40"/>
      <c r="B2" s="41" t="s">
        <v>161</v>
      </c>
      <c r="C2" s="41" t="s">
        <v>162</v>
      </c>
      <c r="D2" s="41" t="s">
        <v>163</v>
      </c>
      <c r="E2" s="41" t="s">
        <v>164</v>
      </c>
      <c r="F2" s="42" t="s">
        <v>165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38.25" customHeight="1" x14ac:dyDescent="0.2">
      <c r="A3" s="64" t="s">
        <v>54</v>
      </c>
      <c r="B3" s="124" t="str">
        <f>'Product Backlog HUs'!$D$11</f>
        <v>HU10-Registrar Respuesta</v>
      </c>
      <c r="C3" s="66" t="str">
        <f>'Product Backlog HUs'!$D$2</f>
        <v>HU1-Iniciar Juego - Plataformas</v>
      </c>
      <c r="D3" s="66" t="str">
        <f>'Product Backlog HUs'!$D$3</f>
        <v>HU2-Iniciar Juego - Mezclar Químicos</v>
      </c>
      <c r="E3" s="66" t="str">
        <f>'Product Backlog HUs'!$D$5</f>
        <v>HU4-Iniciar Juego - Cuestionario Opción Múltiple</v>
      </c>
      <c r="F3" s="68" t="str">
        <f>'Product Backlog HUs'!$D$8</f>
        <v>HU7-Iniciar Juego - Tetris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2.75" x14ac:dyDescent="0.2">
      <c r="A4" s="65"/>
      <c r="B4" s="125"/>
      <c r="C4" s="67"/>
      <c r="D4" s="67"/>
      <c r="E4" s="67"/>
      <c r="F4" s="69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31.5" customHeight="1" x14ac:dyDescent="0.2">
      <c r="A5" s="43" t="s">
        <v>1</v>
      </c>
      <c r="B5" s="121" t="str">
        <f>'Product Backlog HUs'!$D$13</f>
        <v>HU12-Finalizar Actividad</v>
      </c>
      <c r="C5" s="38"/>
      <c r="D5" s="121" t="str">
        <f>'Product Backlog HUs'!$D$4</f>
        <v>HU3-Iniciar Juego - Organizar Químicos</v>
      </c>
      <c r="E5" s="121" t="str">
        <f>'Product Backlog HUs'!$D$6</f>
        <v>HU5-Iniciar Juego - Cuestionario Digitar Respuesta</v>
      </c>
      <c r="F5" s="126" t="str">
        <f>'Product Backlog HUs'!$D$9</f>
        <v>HU8-Iniciar Juego - Combinación Matemática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5.5" x14ac:dyDescent="0.2">
      <c r="A6" s="44" t="s">
        <v>2</v>
      </c>
      <c r="B6" s="122" t="str">
        <f>'Product Backlog HUs'!$D$12</f>
        <v>HU11-Finalizar Tarea</v>
      </c>
      <c r="C6" s="46"/>
      <c r="D6" s="39"/>
      <c r="E6" s="122" t="str">
        <f>'Product Backlog HUs'!$D$7</f>
        <v>HU6-Iniciar Juego - Cuestionario Mover Objetos</v>
      </c>
      <c r="F6" s="127" t="str">
        <f>'Product Backlog HUs'!$D$10</f>
        <v>HU9-Iniciar Juego - Hallar Patrón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2.75" x14ac:dyDescent="0.2">
      <c r="A7" s="118" t="s">
        <v>3</v>
      </c>
      <c r="B7" s="123" t="str">
        <f>'Product Backlog HUs'!$D$14</f>
        <v>HU13-Finalizar Entrenamiento</v>
      </c>
      <c r="C7" s="117"/>
      <c r="D7" s="117"/>
      <c r="E7" s="117"/>
      <c r="F7" s="117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" customHeight="1" x14ac:dyDescent="0.2">
      <c r="A8" s="119"/>
      <c r="B8" s="123" t="str">
        <f>'Product Backlog HUs'!$D$15</f>
        <v>HU14-Calcular Resultados</v>
      </c>
      <c r="C8" s="117"/>
      <c r="D8" s="117"/>
      <c r="E8" s="117"/>
      <c r="F8" s="117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5" customHeight="1" x14ac:dyDescent="0.2">
      <c r="A9" s="120"/>
      <c r="B9" s="123" t="str">
        <f>'Product Backlog HUs'!$D$16</f>
        <v>HU15-Generar Informe de Resultados de Sesión</v>
      </c>
      <c r="C9" s="117"/>
      <c r="D9" s="117"/>
      <c r="E9" s="117"/>
      <c r="F9" s="117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2" customHeight="1" x14ac:dyDescent="0.2">
      <c r="A10" s="11"/>
      <c r="B10" s="3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2.75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2.75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2.75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2.7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2.7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2.75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2.75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2.75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2.75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2.7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2.75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2.7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2.75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2.7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2.7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2.7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2.7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2.7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2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2.7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2.7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2.7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2.7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2.7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2.7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2.7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2.7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2.7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2.7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2.7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2.7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2.7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2.7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2.7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2.7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2.7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2.7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2.7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2.7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2.7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2.7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2.75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2.7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2.75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2.75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2.75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2.75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2.75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2.7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2.75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2.7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2.75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2.75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2.75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2.75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2.75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2.75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2.75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2.75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2.75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2.75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2.75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2.75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2.75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2.75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2.75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2.75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2.75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2.75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2.75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2.75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2.75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2.75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2.75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2.75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2.7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2.7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2.75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2.75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2.75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2.7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2.75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2.75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2.75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2.7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2.75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2.75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2.75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2.75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2.75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2.75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2.7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2.7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2.75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2.75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2.75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2.75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2.75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2.75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2.75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2.75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2.75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2.75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2.75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2.75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2.75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2.75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2.75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2.75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2.75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2.75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2.75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2.75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2.75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2.75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2.75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2.75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2.75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2.75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2.75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2.75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2.75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2.75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2.75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2.75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2.75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2.75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2.75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2.75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2.75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2.75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2.75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2.75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2.75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2.75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2.75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2.7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2.75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2.75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2.75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2.75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2.75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2.75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2.75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2.75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2.75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2.75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2.75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2.75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2.75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2.75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2.75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2.75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2.75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2.75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2.75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2.75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2.75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2.75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2.75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2.75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2.75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2.75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2.75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2.75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2.75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2.75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2.75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2.75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2.75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2.75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2.75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2.75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2.75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2.75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2.75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2.75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2.75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2.75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2.75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2.75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2.75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2.75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2.75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2.75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2.75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2.75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2.75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2.75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2.75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2.75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2.75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2.7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2.75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2.75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2.7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2.7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2.7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2.7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2.7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2.7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2.75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2.7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2.75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2.7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2.7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2.7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2.75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2.75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2.7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2.7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2.7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2.75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2.75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2.75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2.7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2.75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2.75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2.7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2.7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2.7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2.7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2.7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2.7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2.7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2.7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2.7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2.7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2.7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2.7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2.7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2.7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2.7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2.7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2.7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2.7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2.7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2.7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2.7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2.7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2.7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2.7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2.7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2.7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2.7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2.7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2.7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2.7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2.7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2.7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2.7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2.7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2.7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2.7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2.7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2.7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2.7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2.7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2.7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2.7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2.7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2.7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2.7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2.7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2.7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2.7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2.7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2.7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2.7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2.7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2.7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2.7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2.7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2.7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2.7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2.7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2.7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2.7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2.7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2.7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2.7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2.75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2.75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2.75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2.75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2.75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2.75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2.75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2.75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2.75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2.75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2.75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2.75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2.75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2.75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2.75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2.75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2.75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2.75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2.75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2.75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2.75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2.75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2.75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2.75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2.75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2.75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2.75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2.75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2.75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2.75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2.75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2.75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2.75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2.75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2.75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2.75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2.75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2.75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2.75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2.75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2.75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2.75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2.75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2.75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2.75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2.75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2.75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2.75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2.75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2.75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2.75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2.75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2.75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2.75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2.75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2.75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2.75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2.75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2.75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2.75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2.75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2.75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2.75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2.75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2.75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2.75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2.75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2.75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2.75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2.75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2.75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2.75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2.75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2.75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2.75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2.75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2.75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2.75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2.75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2.75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2.75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2.75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2.75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2.75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2.75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2.75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2.75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2.75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2.75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2.75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2.75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2.75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2.75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2.75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2.75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2.75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2.75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2.75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2.75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2.75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2.75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2.75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2.75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2.75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2.75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2.75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2.75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2.75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2.75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2.75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2.75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2.75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2.75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2.75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2.75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2.75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2.75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2.75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2.75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2.75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2.75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2.75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2.75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2.75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2.75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2.75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2.75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2.75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2.75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2.75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2.75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2.75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2.75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2.75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2.75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2.75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2.75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2.75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2.75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2.75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2.75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2.75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2.75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2.75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2.75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2.75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2.75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2.75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2.75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2.75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2.75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2.75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2.75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2.75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2.75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2.75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2.75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2.75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2.75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2.75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2.75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2.75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2.75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2.75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2.75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2.75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2.75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2.75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2.75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2.75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2.75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2.75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2.75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2.75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2.75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2.75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2.75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2.75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2.75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2.75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2.75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2.75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2.75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2.75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2.75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2.75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2.75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2.75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2.75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2.75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2.75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2.75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2.75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2.75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2.75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2.75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2.75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2.75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2.75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2.75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2.75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2.75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2.75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2.75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2.75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2.75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2.75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2.75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2.75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2.75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2.75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2.75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2.75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2.75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2.75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2.75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2.75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2.75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2.75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2.75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2.75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2.75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2.75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2.75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2.75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2.75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2.75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2.75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2.75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2.75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2.75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2.75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2.75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2.75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2.75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2.75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2.75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2.75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2.75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2.75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2.75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2.75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2.75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2.75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2.75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2.75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2.75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2.75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2.75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2.75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2.75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2.75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2.75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2.75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2.75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2.75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2.75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2.75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2.75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2.75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2.75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2.75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2.75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2.75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2.75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2.75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2.75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2.75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2.75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2.75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2.75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2.75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2.75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2.75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2.75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2.75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2.75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2.75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2.75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2.75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2.75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2.75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2.75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2.75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2.75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2.75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2.75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2.75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2.75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2.75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2.75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2.75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2.75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2.75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2.75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2.75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2.75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2.75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2.75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2.75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2.75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2.75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2.75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2.75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2.75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2.75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2.75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2.75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2.75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2.75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2.75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2.75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2.75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2.75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2.75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2.75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2.75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2.75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2.75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2.75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2.75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2.75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2.75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2.75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2.75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2.75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2.75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2.75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2.75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2.75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2.75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2.75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2.75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2.75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2.75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2.75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2.75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2.75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2.75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2.75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2.75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2.75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2.75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2.75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2.75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2.75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2.75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2.75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2.75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2.75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2.75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2.75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2.75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2.75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2.75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2.75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2.75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2.75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2.75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2.75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2.75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2.75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2.75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2.75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2.75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2.75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2.75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2.75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2.75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2.75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2.75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2.75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2.75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2.75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2.75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2.75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2.75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2.75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2.75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2.75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2.75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2.75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2.75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2.75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2.75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2.75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2.75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2.75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2.75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2.75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2.75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2.75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2.75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2.75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2.75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2.75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2.75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2.75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2.75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2.75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2.75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2.75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2.75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2.75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2.75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2.75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2.75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2.75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2.75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2.75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2.75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2.75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2.75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2.75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2.75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2.75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2.75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2.75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2.75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2.75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2.75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2.75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2.75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2.75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2.75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2.75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2.75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2.75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2.75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2.75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2.75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2.75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2.75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2.75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2.75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2.75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2.75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2.75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2.75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2.75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2.75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2.75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2.75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2.75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2.75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2.75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2.75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2.75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2.75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2.75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2.75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2.75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2.75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2.75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2.75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2.75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2.75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2.75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2.75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2.75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2.75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2.75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2.75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2.75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2.75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2.75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2.75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2.75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2.75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2.75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2.75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2.75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2.75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2.75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2.75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2.75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2.75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2.75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2.75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2.75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2.75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2.75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2.75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2.75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2.75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2.75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2.75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2.75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2.75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2.75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2.75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2.75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2.75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2.75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2.75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2.75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2.75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2.75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2.75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2.75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2.75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2.75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2.75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2.75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2.75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2.75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2.75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2.75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2.75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2.75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2.75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2.75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2.75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2.75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2.75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2.75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2.75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2.75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2.75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2.75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2.75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2.75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2.75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2.75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2.75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2.75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2.75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2.75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2.75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2.75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2.75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2.75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2.75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2.75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2.75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2.75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2.75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2.75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2.75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2.75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2.75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2.75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2.75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2.75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2.75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2.75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2.75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2.75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2.75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2.75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2.75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2.75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2.75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2.75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2.75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2.75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2.75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2.75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2.75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2.75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2.75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2.75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2.75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2.75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2.75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2.75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2.75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2.75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2.75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2.75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2.75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2.75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2.75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2.75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2.75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2.75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2.75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2.75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2.75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2.75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2.75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2.75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2.75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2.75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2.75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2.75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2.75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2.75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2.75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2.75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2.75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2.75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2.75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2.75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2.75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2.75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2.75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2.75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2.75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2.75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2.75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2.75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2.75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2.75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2.75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2.75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2.75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2.75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2.75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2.75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2.75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2.75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2.75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2.75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2.75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2.75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2.75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2.75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2.75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2.75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2.75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2.75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2.75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2.75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2.75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2.75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2.75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2.75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2.75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2.75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2.75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2.75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2.75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2.75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2.75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2.75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2.75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2.75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2.75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2.75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2.75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2.75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2.75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2.75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2.75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2.75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2.75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2.75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2.75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</sheetData>
  <mergeCells count="8">
    <mergeCell ref="A7:A9"/>
    <mergeCell ref="A1:F1"/>
    <mergeCell ref="A3:A4"/>
    <mergeCell ref="C3:C4"/>
    <mergeCell ref="D3:D4"/>
    <mergeCell ref="E3:E4"/>
    <mergeCell ref="F3:F4"/>
    <mergeCell ref="B3:B4"/>
  </mergeCells>
  <hyperlinks>
    <hyperlink ref="A3:A4" location="'Plan de liberaciones'!E2" display="Release 0" xr:uid="{BAF4284E-20E8-4F26-94AB-73E2944010B2}"/>
    <hyperlink ref="A5" location="'Plan de liberaciones'!E7" display="Release 1" xr:uid="{B4B8AA7F-80B1-4120-B0C9-F58FB1A71CFB}"/>
    <hyperlink ref="A6" location="'Plan de liberaciones'!E11" display="Release 2" xr:uid="{36B3E15B-1A54-4DF8-BD93-D5333A7D96FB}"/>
    <hyperlink ref="A7" location="'Plan de liberaciones'!E7" display="Release 3" xr:uid="{D42FA238-58C9-4AC7-B8B3-608E3FEAD961}"/>
    <hyperlink ref="A7:A9" location="'Plan de liberaciones'!E14" display="Release 3" xr:uid="{3788F048-4009-4210-A8CB-50C87E4623F5}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D744-EC4D-4C30-B14C-6434EDF8F7D8}">
  <dimension ref="A1:U946"/>
  <sheetViews>
    <sheetView workbookViewId="0">
      <selection activeCell="F16" sqref="F16"/>
    </sheetView>
  </sheetViews>
  <sheetFormatPr baseColWidth="10" defaultColWidth="14.42578125" defaultRowHeight="15" customHeight="1" x14ac:dyDescent="0.25"/>
  <cols>
    <col min="1" max="1" width="57.28515625" style="33" bestFit="1" customWidth="1"/>
    <col min="2" max="2" width="7.140625" style="33" bestFit="1" customWidth="1"/>
    <col min="3" max="3" width="10" style="34" bestFit="1" customWidth="1"/>
    <col min="4" max="4" width="18.7109375" style="34" customWidth="1"/>
    <col min="5" max="5" width="25.7109375" style="33" bestFit="1" customWidth="1"/>
    <col min="6" max="21" width="28" style="33" customWidth="1"/>
    <col min="22" max="16384" width="14.42578125" style="33"/>
  </cols>
  <sheetData>
    <row r="1" spans="1:21" ht="15" customHeight="1" x14ac:dyDescent="0.25">
      <c r="A1" s="35" t="s">
        <v>67</v>
      </c>
      <c r="B1" s="36" t="s">
        <v>70</v>
      </c>
      <c r="C1" s="36" t="s">
        <v>68</v>
      </c>
      <c r="D1" s="36" t="s">
        <v>69</v>
      </c>
      <c r="E1" s="133" t="s">
        <v>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2.75" customHeight="1" x14ac:dyDescent="0.2">
      <c r="A2" s="134" t="str">
        <f>'Product Backlog HUs'!$D$11</f>
        <v>HU10-Registrar Respuesta</v>
      </c>
      <c r="B2" s="128" t="s">
        <v>7</v>
      </c>
      <c r="C2" s="128">
        <v>36</v>
      </c>
      <c r="D2" s="128">
        <f>C2</f>
        <v>36</v>
      </c>
      <c r="E2" s="135" t="s">
        <v>54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 customHeight="1" x14ac:dyDescent="0.2">
      <c r="A3" s="134" t="str">
        <f>'Product Backlog HUs'!$D$2</f>
        <v>HU1-Iniciar Juego - Plataformas</v>
      </c>
      <c r="B3" s="128"/>
      <c r="C3" s="128"/>
      <c r="D3" s="128"/>
      <c r="E3" s="1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 customHeight="1" x14ac:dyDescent="0.2">
      <c r="A4" s="134" t="str">
        <f>'Product Backlog HUs'!$D$3</f>
        <v>HU2-Iniciar Juego - Mezclar Químicos</v>
      </c>
      <c r="B4" s="128"/>
      <c r="C4" s="128"/>
      <c r="D4" s="128"/>
      <c r="E4" s="13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2.75" customHeight="1" x14ac:dyDescent="0.2">
      <c r="A5" s="134" t="str">
        <f>'Product Backlog HUs'!$D$5</f>
        <v>HU4-Iniciar Juego - Cuestionario Opción Múltiple</v>
      </c>
      <c r="B5" s="128" t="s">
        <v>14</v>
      </c>
      <c r="C5" s="128">
        <v>14</v>
      </c>
      <c r="D5" s="128">
        <f>D2+C5</f>
        <v>50</v>
      </c>
      <c r="E5" s="13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2.75" customHeight="1" x14ac:dyDescent="0.2">
      <c r="A6" s="134" t="str">
        <f>'Product Backlog HUs'!$D$8</f>
        <v>HU7-Iniciar Juego - Tetris</v>
      </c>
      <c r="B6" s="128"/>
      <c r="C6" s="128"/>
      <c r="D6" s="128"/>
      <c r="E6" s="13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2.75" customHeight="1" x14ac:dyDescent="0.25">
      <c r="A7" s="136" t="str">
        <f>'Product Backlog HUs'!$D$13</f>
        <v>HU12-Finalizar Actividad</v>
      </c>
      <c r="B7" s="129" t="s">
        <v>14</v>
      </c>
      <c r="C7" s="70">
        <v>29</v>
      </c>
      <c r="D7" s="70">
        <f>D5+C7</f>
        <v>79</v>
      </c>
      <c r="E7" s="137" t="s">
        <v>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2.75" customHeight="1" x14ac:dyDescent="0.25">
      <c r="A8" s="136" t="str">
        <f>'Product Backlog HUs'!$D$4</f>
        <v>HU3-Iniciar Juego - Organizar Químicos</v>
      </c>
      <c r="B8" s="129"/>
      <c r="C8" s="74"/>
      <c r="D8" s="74"/>
      <c r="E8" s="13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2.75" customHeight="1" x14ac:dyDescent="0.25">
      <c r="A9" s="136" t="str">
        <f>'Product Backlog HUs'!$D$6</f>
        <v>HU5-Iniciar Juego - Cuestionario Digitar Respuesta</v>
      </c>
      <c r="B9" s="129"/>
      <c r="C9" s="74"/>
      <c r="D9" s="74"/>
      <c r="E9" s="13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2.75" customHeight="1" x14ac:dyDescent="0.25">
      <c r="A10" s="136" t="str">
        <f>'Product Backlog HUs'!$D$9</f>
        <v>HU8-Iniciar Juego - Combinación Matemática</v>
      </c>
      <c r="B10" s="129"/>
      <c r="C10" s="71"/>
      <c r="D10" s="71"/>
      <c r="E10" s="13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2.75" customHeight="1" x14ac:dyDescent="0.25">
      <c r="A11" s="138" t="str">
        <f>'Product Backlog HUs'!$D$12</f>
        <v>HU11-Finalizar Tarea</v>
      </c>
      <c r="B11" s="72" t="s">
        <v>15</v>
      </c>
      <c r="C11" s="72">
        <v>19</v>
      </c>
      <c r="D11" s="72">
        <f>D7+C11</f>
        <v>98</v>
      </c>
      <c r="E11" s="75" t="s">
        <v>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2.75" x14ac:dyDescent="0.25">
      <c r="A12" s="138" t="str">
        <f>'Product Backlog HUs'!$D$7</f>
        <v>HU6-Iniciar Juego - Cuestionario Mover Objetos</v>
      </c>
      <c r="B12" s="130"/>
      <c r="C12" s="130"/>
      <c r="D12" s="130"/>
      <c r="E12" s="13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" customHeight="1" x14ac:dyDescent="0.25">
      <c r="A13" s="138" t="str">
        <f>'Product Backlog HUs'!$D$10</f>
        <v>HU9-Iniciar Juego - Hallar Patrón</v>
      </c>
      <c r="B13" s="73"/>
      <c r="C13" s="73"/>
      <c r="D13" s="73"/>
      <c r="E13" s="76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" customHeight="1" x14ac:dyDescent="0.25">
      <c r="A14" s="140" t="str">
        <f>'Product Backlog HUs'!$D$14</f>
        <v>HU13-Finalizar Entrenamiento</v>
      </c>
      <c r="B14" s="131" t="s">
        <v>13</v>
      </c>
      <c r="C14" s="131">
        <v>14</v>
      </c>
      <c r="D14" s="131">
        <f>D11+C14</f>
        <v>112</v>
      </c>
      <c r="E14" s="141" t="s">
        <v>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" customHeight="1" x14ac:dyDescent="0.25">
      <c r="A15" s="140" t="str">
        <f>'Product Backlog HUs'!$D$15</f>
        <v>HU14-Calcular Resultados</v>
      </c>
      <c r="B15" s="132"/>
      <c r="C15" s="132"/>
      <c r="D15" s="132"/>
      <c r="E15" s="14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" customHeight="1" thickBot="1" x14ac:dyDescent="0.3">
      <c r="A16" s="143" t="str">
        <f>'Product Backlog HUs'!$D$16</f>
        <v>HU15-Generar Informe de Resultados de Sesión</v>
      </c>
      <c r="B16" s="144"/>
      <c r="C16" s="144"/>
      <c r="D16" s="144"/>
      <c r="E16" s="14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2.75" x14ac:dyDescent="0.25">
      <c r="A17" s="11"/>
      <c r="B17" s="11"/>
      <c r="C17" s="32"/>
      <c r="D17" s="3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2.75" x14ac:dyDescent="0.25">
      <c r="A18" s="11"/>
      <c r="B18" s="11"/>
      <c r="C18" s="32"/>
      <c r="D18" s="3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2.75" x14ac:dyDescent="0.25">
      <c r="A19" s="11"/>
      <c r="B19" s="11"/>
      <c r="C19" s="32"/>
      <c r="D19" s="3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2.75" x14ac:dyDescent="0.25">
      <c r="A20" s="11"/>
      <c r="B20" s="11"/>
      <c r="C20" s="32"/>
      <c r="D20" s="3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2.75" x14ac:dyDescent="0.25">
      <c r="A21" s="11"/>
      <c r="B21" s="11"/>
      <c r="C21" s="32"/>
      <c r="D21" s="3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2.75" x14ac:dyDescent="0.25">
      <c r="A22" s="11"/>
      <c r="B22" s="11"/>
      <c r="C22" s="32"/>
      <c r="D22" s="3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2.75" x14ac:dyDescent="0.25">
      <c r="A23" s="11"/>
      <c r="B23" s="11"/>
      <c r="C23" s="32"/>
      <c r="D23" s="3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2.75" x14ac:dyDescent="0.25">
      <c r="A24" s="11"/>
      <c r="B24" s="11"/>
      <c r="C24" s="32"/>
      <c r="D24" s="3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2.75" x14ac:dyDescent="0.25">
      <c r="A25" s="11"/>
      <c r="B25" s="11"/>
      <c r="C25" s="32"/>
      <c r="D25" s="3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2.75" x14ac:dyDescent="0.25">
      <c r="A26" s="11"/>
      <c r="B26" s="11"/>
      <c r="C26" s="32"/>
      <c r="D26" s="3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2.75" x14ac:dyDescent="0.25">
      <c r="A27" s="11"/>
      <c r="B27" s="11"/>
      <c r="C27" s="32"/>
      <c r="D27" s="3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2.75" x14ac:dyDescent="0.25">
      <c r="A28" s="11"/>
      <c r="B28" s="11"/>
      <c r="C28" s="32"/>
      <c r="D28" s="3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2.75" x14ac:dyDescent="0.25">
      <c r="A29" s="11"/>
      <c r="B29" s="11"/>
      <c r="C29" s="32"/>
      <c r="D29" s="3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2.75" x14ac:dyDescent="0.25">
      <c r="A30" s="11"/>
      <c r="B30" s="11"/>
      <c r="C30" s="32"/>
      <c r="D30" s="3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2.75" x14ac:dyDescent="0.25">
      <c r="A31" s="11"/>
      <c r="B31" s="11"/>
      <c r="C31" s="32"/>
      <c r="D31" s="3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2.75" x14ac:dyDescent="0.25">
      <c r="A32" s="11"/>
      <c r="B32" s="11"/>
      <c r="C32" s="32"/>
      <c r="D32" s="3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2.75" x14ac:dyDescent="0.25">
      <c r="A33" s="11"/>
      <c r="B33" s="11"/>
      <c r="C33" s="32"/>
      <c r="D33" s="3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2.75" x14ac:dyDescent="0.25">
      <c r="A34" s="11"/>
      <c r="B34" s="11"/>
      <c r="C34" s="32"/>
      <c r="D34" s="3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2.75" x14ac:dyDescent="0.25">
      <c r="A35" s="11"/>
      <c r="B35" s="11"/>
      <c r="C35" s="32"/>
      <c r="D35" s="3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2.75" x14ac:dyDescent="0.25">
      <c r="A36" s="11"/>
      <c r="B36" s="11"/>
      <c r="C36" s="32"/>
      <c r="D36" s="3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2.75" x14ac:dyDescent="0.25">
      <c r="A37" s="11"/>
      <c r="B37" s="11"/>
      <c r="C37" s="32"/>
      <c r="D37" s="3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2.75" x14ac:dyDescent="0.25">
      <c r="A38" s="11"/>
      <c r="B38" s="11"/>
      <c r="C38" s="32"/>
      <c r="D38" s="3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2.75" x14ac:dyDescent="0.25">
      <c r="A39" s="11"/>
      <c r="B39" s="11"/>
      <c r="C39" s="32"/>
      <c r="D39" s="32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2.75" x14ac:dyDescent="0.25">
      <c r="A40" s="11"/>
      <c r="B40" s="11"/>
      <c r="C40" s="32"/>
      <c r="D40" s="32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2.75" x14ac:dyDescent="0.25">
      <c r="A41" s="11"/>
      <c r="B41" s="11"/>
      <c r="C41" s="32"/>
      <c r="D41" s="32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2.75" x14ac:dyDescent="0.25">
      <c r="A42" s="11"/>
      <c r="B42" s="11"/>
      <c r="C42" s="32"/>
      <c r="D42" s="3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2.75" x14ac:dyDescent="0.25">
      <c r="A43" s="11"/>
      <c r="B43" s="11"/>
      <c r="C43" s="32"/>
      <c r="D43" s="3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2.75" x14ac:dyDescent="0.25">
      <c r="A44" s="11"/>
      <c r="B44" s="11"/>
      <c r="C44" s="32"/>
      <c r="D44" s="3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2.75" x14ac:dyDescent="0.25">
      <c r="A45" s="11"/>
      <c r="B45" s="11"/>
      <c r="C45" s="32"/>
      <c r="D45" s="3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2.75" x14ac:dyDescent="0.25">
      <c r="A46" s="11"/>
      <c r="B46" s="11"/>
      <c r="C46" s="32"/>
      <c r="D46" s="3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2.75" x14ac:dyDescent="0.25">
      <c r="A47" s="11"/>
      <c r="B47" s="11"/>
      <c r="C47" s="32"/>
      <c r="D47" s="3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2.75" x14ac:dyDescent="0.25">
      <c r="A48" s="11"/>
      <c r="B48" s="11"/>
      <c r="C48" s="32"/>
      <c r="D48" s="3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2.75" x14ac:dyDescent="0.25">
      <c r="A49" s="11"/>
      <c r="B49" s="11"/>
      <c r="C49" s="32"/>
      <c r="D49" s="3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3.5" thickBot="1" x14ac:dyDescent="0.3">
      <c r="A50" s="11"/>
      <c r="B50" s="11"/>
      <c r="C50" s="32"/>
      <c r="D50" s="3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2.75" x14ac:dyDescent="0.25">
      <c r="A51" s="11"/>
      <c r="B51" s="11"/>
      <c r="C51" s="32"/>
      <c r="D51" s="3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2.75" x14ac:dyDescent="0.25">
      <c r="A52" s="11"/>
      <c r="B52" s="11"/>
      <c r="C52" s="32"/>
      <c r="D52" s="3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2.75" x14ac:dyDescent="0.25">
      <c r="A53" s="11"/>
      <c r="B53" s="11"/>
      <c r="C53" s="32"/>
      <c r="D53" s="3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2.75" x14ac:dyDescent="0.25">
      <c r="A54" s="11"/>
      <c r="B54" s="11"/>
      <c r="C54" s="32"/>
      <c r="D54" s="3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2.75" x14ac:dyDescent="0.25">
      <c r="A55" s="11"/>
      <c r="B55" s="11"/>
      <c r="C55" s="32"/>
      <c r="D55" s="3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2.75" x14ac:dyDescent="0.25">
      <c r="A56" s="11"/>
      <c r="B56" s="11"/>
      <c r="C56" s="32"/>
      <c r="D56" s="3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2.75" x14ac:dyDescent="0.25">
      <c r="A57" s="11"/>
      <c r="B57" s="11"/>
      <c r="C57" s="32"/>
      <c r="D57" s="3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2.75" x14ac:dyDescent="0.25">
      <c r="A58" s="11"/>
      <c r="B58" s="11"/>
      <c r="C58" s="32"/>
      <c r="D58" s="3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2.75" x14ac:dyDescent="0.25">
      <c r="A59" s="11"/>
      <c r="B59" s="11"/>
      <c r="C59" s="32"/>
      <c r="D59" s="3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2.75" x14ac:dyDescent="0.25">
      <c r="A60" s="11"/>
      <c r="B60" s="11"/>
      <c r="C60" s="32"/>
      <c r="D60" s="3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2.75" x14ac:dyDescent="0.25">
      <c r="A61" s="11"/>
      <c r="B61" s="11"/>
      <c r="C61" s="32"/>
      <c r="D61" s="3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2.75" x14ac:dyDescent="0.25">
      <c r="A62" s="11"/>
      <c r="B62" s="11"/>
      <c r="C62" s="32"/>
      <c r="D62" s="3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2.75" x14ac:dyDescent="0.25">
      <c r="A63" s="11"/>
      <c r="B63" s="11"/>
      <c r="C63" s="32"/>
      <c r="D63" s="3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2.75" x14ac:dyDescent="0.25">
      <c r="A64" s="11"/>
      <c r="B64" s="11"/>
      <c r="C64" s="32"/>
      <c r="D64" s="3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2.75" x14ac:dyDescent="0.25">
      <c r="A65" s="11"/>
      <c r="B65" s="11"/>
      <c r="C65" s="32"/>
      <c r="D65" s="3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2.75" x14ac:dyDescent="0.25">
      <c r="A66" s="11"/>
      <c r="B66" s="11"/>
      <c r="C66" s="32"/>
      <c r="D66" s="3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2.75" x14ac:dyDescent="0.25">
      <c r="A67" s="11"/>
      <c r="B67" s="11"/>
      <c r="C67" s="32"/>
      <c r="D67" s="3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2.75" x14ac:dyDescent="0.25">
      <c r="A68" s="11"/>
      <c r="B68" s="11"/>
      <c r="C68" s="32"/>
      <c r="D68" s="3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2.75" x14ac:dyDescent="0.25">
      <c r="A69" s="11"/>
      <c r="B69" s="11"/>
      <c r="C69" s="32"/>
      <c r="D69" s="3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2.75" x14ac:dyDescent="0.25">
      <c r="A70" s="11"/>
      <c r="B70" s="11"/>
      <c r="C70" s="32"/>
      <c r="D70" s="3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2.75" x14ac:dyDescent="0.25">
      <c r="A71" s="11"/>
      <c r="B71" s="11"/>
      <c r="C71" s="32"/>
      <c r="D71" s="3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2.75" x14ac:dyDescent="0.25">
      <c r="A72" s="11"/>
      <c r="B72" s="11"/>
      <c r="C72" s="32"/>
      <c r="D72" s="3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2.75" x14ac:dyDescent="0.25">
      <c r="A73" s="11"/>
      <c r="B73" s="11"/>
      <c r="C73" s="32"/>
      <c r="D73" s="3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2.75" x14ac:dyDescent="0.25">
      <c r="A74" s="11"/>
      <c r="B74" s="11"/>
      <c r="C74" s="32"/>
      <c r="D74" s="3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2.75" x14ac:dyDescent="0.25">
      <c r="A75" s="11"/>
      <c r="B75" s="11"/>
      <c r="C75" s="32"/>
      <c r="D75" s="3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2.75" x14ac:dyDescent="0.25">
      <c r="A76" s="11"/>
      <c r="B76" s="11"/>
      <c r="C76" s="32"/>
      <c r="D76" s="3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2.75" x14ac:dyDescent="0.25">
      <c r="A77" s="11"/>
      <c r="B77" s="11"/>
      <c r="C77" s="32"/>
      <c r="D77" s="3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2.75" x14ac:dyDescent="0.25">
      <c r="A78" s="11"/>
      <c r="B78" s="11"/>
      <c r="C78" s="32"/>
      <c r="D78" s="3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2.75" x14ac:dyDescent="0.25">
      <c r="A79" s="11"/>
      <c r="B79" s="11"/>
      <c r="C79" s="32"/>
      <c r="D79" s="3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2.75" x14ac:dyDescent="0.25">
      <c r="A80" s="11"/>
      <c r="B80" s="11"/>
      <c r="C80" s="32"/>
      <c r="D80" s="3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2.75" x14ac:dyDescent="0.25">
      <c r="A81" s="11"/>
      <c r="B81" s="11"/>
      <c r="C81" s="32"/>
      <c r="D81" s="3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2.75" x14ac:dyDescent="0.25">
      <c r="A82" s="11"/>
      <c r="B82" s="11"/>
      <c r="C82" s="32"/>
      <c r="D82" s="3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2.75" x14ac:dyDescent="0.25">
      <c r="A83" s="11"/>
      <c r="B83" s="11"/>
      <c r="C83" s="32"/>
      <c r="D83" s="3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2.75" x14ac:dyDescent="0.25">
      <c r="A84" s="11"/>
      <c r="B84" s="11"/>
      <c r="C84" s="32"/>
      <c r="D84" s="3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2.75" x14ac:dyDescent="0.25">
      <c r="A85" s="11"/>
      <c r="B85" s="11"/>
      <c r="C85" s="32"/>
      <c r="D85" s="3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2.75" x14ac:dyDescent="0.25">
      <c r="A86" s="11"/>
      <c r="B86" s="11"/>
      <c r="C86" s="32"/>
      <c r="D86" s="3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2.75" x14ac:dyDescent="0.25">
      <c r="A87" s="11"/>
      <c r="B87" s="11"/>
      <c r="C87" s="32"/>
      <c r="D87" s="3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2.75" x14ac:dyDescent="0.25">
      <c r="A88" s="11"/>
      <c r="B88" s="11"/>
      <c r="C88" s="32"/>
      <c r="D88" s="3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2.75" x14ac:dyDescent="0.25">
      <c r="A89" s="11"/>
      <c r="B89" s="11"/>
      <c r="C89" s="32"/>
      <c r="D89" s="3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2.75" x14ac:dyDescent="0.25">
      <c r="A90" s="11"/>
      <c r="B90" s="11"/>
      <c r="C90" s="32"/>
      <c r="D90" s="3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2.75" x14ac:dyDescent="0.25">
      <c r="A91" s="11"/>
      <c r="B91" s="11"/>
      <c r="C91" s="32"/>
      <c r="D91" s="3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2.75" x14ac:dyDescent="0.25">
      <c r="A92" s="11"/>
      <c r="B92" s="11"/>
      <c r="C92" s="32"/>
      <c r="D92" s="3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2.75" x14ac:dyDescent="0.25">
      <c r="A93" s="11"/>
      <c r="B93" s="11"/>
      <c r="C93" s="32"/>
      <c r="D93" s="3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2.75" x14ac:dyDescent="0.25">
      <c r="A94" s="11"/>
      <c r="B94" s="11"/>
      <c r="C94" s="32"/>
      <c r="D94" s="3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2.75" x14ac:dyDescent="0.25">
      <c r="A95" s="11"/>
      <c r="B95" s="11"/>
      <c r="C95" s="32"/>
      <c r="D95" s="3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2.75" x14ac:dyDescent="0.25">
      <c r="A96" s="11"/>
      <c r="B96" s="11"/>
      <c r="C96" s="32"/>
      <c r="D96" s="3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2.75" x14ac:dyDescent="0.25">
      <c r="A97" s="11"/>
      <c r="B97" s="11"/>
      <c r="C97" s="32"/>
      <c r="D97" s="3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2.75" x14ac:dyDescent="0.25">
      <c r="A98" s="11"/>
      <c r="B98" s="11"/>
      <c r="C98" s="32"/>
      <c r="D98" s="3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2.75" x14ac:dyDescent="0.25">
      <c r="A99" s="11"/>
      <c r="B99" s="11"/>
      <c r="C99" s="32"/>
      <c r="D99" s="3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2.75" x14ac:dyDescent="0.25">
      <c r="A100" s="11"/>
      <c r="B100" s="11"/>
      <c r="C100" s="32"/>
      <c r="D100" s="3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2.75" x14ac:dyDescent="0.25">
      <c r="A101" s="11"/>
      <c r="B101" s="11"/>
      <c r="C101" s="32"/>
      <c r="D101" s="3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2.75" x14ac:dyDescent="0.25">
      <c r="A102" s="11"/>
      <c r="B102" s="11"/>
      <c r="C102" s="32"/>
      <c r="D102" s="3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2.75" x14ac:dyDescent="0.25">
      <c r="A103" s="11"/>
      <c r="B103" s="11"/>
      <c r="C103" s="32"/>
      <c r="D103" s="3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2.75" x14ac:dyDescent="0.25">
      <c r="A104" s="11"/>
      <c r="B104" s="11"/>
      <c r="C104" s="32"/>
      <c r="D104" s="3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2.75" x14ac:dyDescent="0.25">
      <c r="A105" s="11"/>
      <c r="B105" s="11"/>
      <c r="C105" s="32"/>
      <c r="D105" s="3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2.75" x14ac:dyDescent="0.25">
      <c r="A106" s="11"/>
      <c r="B106" s="11"/>
      <c r="C106" s="32"/>
      <c r="D106" s="3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2.75" x14ac:dyDescent="0.25">
      <c r="A107" s="11"/>
      <c r="B107" s="11"/>
      <c r="C107" s="32"/>
      <c r="D107" s="3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2.75" x14ac:dyDescent="0.25">
      <c r="A108" s="11"/>
      <c r="B108" s="11"/>
      <c r="C108" s="32"/>
      <c r="D108" s="3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2.75" x14ac:dyDescent="0.25">
      <c r="A109" s="11"/>
      <c r="B109" s="11"/>
      <c r="C109" s="32"/>
      <c r="D109" s="3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2.75" x14ac:dyDescent="0.25">
      <c r="A110" s="11"/>
      <c r="B110" s="11"/>
      <c r="C110" s="32"/>
      <c r="D110" s="3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2.75" x14ac:dyDescent="0.25">
      <c r="A111" s="11"/>
      <c r="B111" s="11"/>
      <c r="C111" s="32"/>
      <c r="D111" s="3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2.75" x14ac:dyDescent="0.25">
      <c r="A112" s="11"/>
      <c r="B112" s="11"/>
      <c r="C112" s="32"/>
      <c r="D112" s="3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2.75" x14ac:dyDescent="0.25">
      <c r="A113" s="11"/>
      <c r="B113" s="11"/>
      <c r="C113" s="32"/>
      <c r="D113" s="3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2.75" x14ac:dyDescent="0.25">
      <c r="A114" s="11"/>
      <c r="B114" s="11"/>
      <c r="C114" s="32"/>
      <c r="D114" s="3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2.75" x14ac:dyDescent="0.25">
      <c r="A115" s="11"/>
      <c r="B115" s="11"/>
      <c r="C115" s="32"/>
      <c r="D115" s="3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2.75" x14ac:dyDescent="0.25">
      <c r="A116" s="11"/>
      <c r="B116" s="11"/>
      <c r="C116" s="32"/>
      <c r="D116" s="3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2.75" x14ac:dyDescent="0.25">
      <c r="A117" s="11"/>
      <c r="B117" s="11"/>
      <c r="C117" s="32"/>
      <c r="D117" s="3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2.75" x14ac:dyDescent="0.25">
      <c r="A118" s="11"/>
      <c r="B118" s="11"/>
      <c r="C118" s="32"/>
      <c r="D118" s="3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2.75" x14ac:dyDescent="0.25">
      <c r="A119" s="11"/>
      <c r="B119" s="11"/>
      <c r="C119" s="32"/>
      <c r="D119" s="3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2.75" x14ac:dyDescent="0.25">
      <c r="A120" s="11"/>
      <c r="B120" s="11"/>
      <c r="C120" s="32"/>
      <c r="D120" s="3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2.75" x14ac:dyDescent="0.25">
      <c r="A121" s="11"/>
      <c r="B121" s="11"/>
      <c r="C121" s="32"/>
      <c r="D121" s="3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2.75" x14ac:dyDescent="0.25">
      <c r="A122" s="11"/>
      <c r="B122" s="11"/>
      <c r="C122" s="32"/>
      <c r="D122" s="3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2.75" x14ac:dyDescent="0.25">
      <c r="A123" s="11"/>
      <c r="B123" s="11"/>
      <c r="C123" s="32"/>
      <c r="D123" s="3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2.75" x14ac:dyDescent="0.25">
      <c r="A124" s="11"/>
      <c r="B124" s="11"/>
      <c r="C124" s="32"/>
      <c r="D124" s="3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2.75" x14ac:dyDescent="0.25">
      <c r="A125" s="11"/>
      <c r="B125" s="11"/>
      <c r="C125" s="32"/>
      <c r="D125" s="3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2.75" x14ac:dyDescent="0.25">
      <c r="A126" s="11"/>
      <c r="B126" s="11"/>
      <c r="C126" s="32"/>
      <c r="D126" s="3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2.75" x14ac:dyDescent="0.25">
      <c r="A127" s="11"/>
      <c r="B127" s="11"/>
      <c r="C127" s="32"/>
      <c r="D127" s="3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2.75" x14ac:dyDescent="0.25">
      <c r="A128" s="11"/>
      <c r="B128" s="11"/>
      <c r="C128" s="32"/>
      <c r="D128" s="3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2.75" x14ac:dyDescent="0.25">
      <c r="A129" s="11"/>
      <c r="B129" s="11"/>
      <c r="C129" s="32"/>
      <c r="D129" s="3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2.75" x14ac:dyDescent="0.25">
      <c r="A130" s="11"/>
      <c r="B130" s="11"/>
      <c r="C130" s="32"/>
      <c r="D130" s="3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2.75" x14ac:dyDescent="0.25">
      <c r="A131" s="11"/>
      <c r="B131" s="11"/>
      <c r="C131" s="32"/>
      <c r="D131" s="3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2.75" x14ac:dyDescent="0.25">
      <c r="A132" s="11"/>
      <c r="B132" s="11"/>
      <c r="C132" s="32"/>
      <c r="D132" s="3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2.75" x14ac:dyDescent="0.25">
      <c r="A133" s="11"/>
      <c r="B133" s="11"/>
      <c r="C133" s="32"/>
      <c r="D133" s="3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2.75" x14ac:dyDescent="0.25">
      <c r="A134" s="11"/>
      <c r="B134" s="11"/>
      <c r="C134" s="32"/>
      <c r="D134" s="3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2.75" x14ac:dyDescent="0.25">
      <c r="A135" s="11"/>
      <c r="B135" s="11"/>
      <c r="C135" s="32"/>
      <c r="D135" s="3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2.75" x14ac:dyDescent="0.25">
      <c r="A136" s="11"/>
      <c r="B136" s="11"/>
      <c r="C136" s="32"/>
      <c r="D136" s="3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2.75" x14ac:dyDescent="0.25">
      <c r="A137" s="11"/>
      <c r="B137" s="11"/>
      <c r="C137" s="32"/>
      <c r="D137" s="3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2.75" x14ac:dyDescent="0.25">
      <c r="A138" s="11"/>
      <c r="B138" s="11"/>
      <c r="C138" s="32"/>
      <c r="D138" s="3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2.75" x14ac:dyDescent="0.25">
      <c r="A139" s="11"/>
      <c r="B139" s="11"/>
      <c r="C139" s="32"/>
      <c r="D139" s="3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2.75" x14ac:dyDescent="0.25">
      <c r="A140" s="11"/>
      <c r="B140" s="11"/>
      <c r="C140" s="32"/>
      <c r="D140" s="3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2.75" x14ac:dyDescent="0.25">
      <c r="A141" s="11"/>
      <c r="B141" s="11"/>
      <c r="C141" s="32"/>
      <c r="D141" s="3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2.75" x14ac:dyDescent="0.25">
      <c r="A142" s="11"/>
      <c r="B142" s="11"/>
      <c r="C142" s="32"/>
      <c r="D142" s="3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2.75" x14ac:dyDescent="0.25">
      <c r="A143" s="11"/>
      <c r="B143" s="11"/>
      <c r="C143" s="32"/>
      <c r="D143" s="3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2.75" x14ac:dyDescent="0.25">
      <c r="A144" s="11"/>
      <c r="B144" s="11"/>
      <c r="C144" s="32"/>
      <c r="D144" s="3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2.75" x14ac:dyDescent="0.25">
      <c r="A145" s="11"/>
      <c r="B145" s="11"/>
      <c r="C145" s="32"/>
      <c r="D145" s="3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2.75" x14ac:dyDescent="0.25">
      <c r="A146" s="11"/>
      <c r="B146" s="11"/>
      <c r="C146" s="32"/>
      <c r="D146" s="3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2.75" x14ac:dyDescent="0.25">
      <c r="A147" s="11"/>
      <c r="B147" s="11"/>
      <c r="C147" s="32"/>
      <c r="D147" s="3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2.75" x14ac:dyDescent="0.25">
      <c r="A148" s="11"/>
      <c r="B148" s="11"/>
      <c r="C148" s="32"/>
      <c r="D148" s="3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2.75" x14ac:dyDescent="0.25">
      <c r="A149" s="11"/>
      <c r="B149" s="11"/>
      <c r="C149" s="32"/>
      <c r="D149" s="3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2.75" x14ac:dyDescent="0.25">
      <c r="A150" s="11"/>
      <c r="B150" s="11"/>
      <c r="C150" s="32"/>
      <c r="D150" s="3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2.75" x14ac:dyDescent="0.25">
      <c r="A151" s="11"/>
      <c r="B151" s="11"/>
      <c r="C151" s="32"/>
      <c r="D151" s="3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2.75" x14ac:dyDescent="0.25">
      <c r="A152" s="11"/>
      <c r="B152" s="11"/>
      <c r="C152" s="32"/>
      <c r="D152" s="3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2.75" x14ac:dyDescent="0.25">
      <c r="A153" s="11"/>
      <c r="B153" s="11"/>
      <c r="C153" s="32"/>
      <c r="D153" s="3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2.75" x14ac:dyDescent="0.25">
      <c r="A154" s="11"/>
      <c r="B154" s="11"/>
      <c r="C154" s="32"/>
      <c r="D154" s="3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2.75" x14ac:dyDescent="0.25">
      <c r="A155" s="11"/>
      <c r="B155" s="11"/>
      <c r="C155" s="32"/>
      <c r="D155" s="3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2.75" x14ac:dyDescent="0.25">
      <c r="A156" s="11"/>
      <c r="B156" s="11"/>
      <c r="C156" s="32"/>
      <c r="D156" s="3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2.75" x14ac:dyDescent="0.25">
      <c r="A157" s="11"/>
      <c r="B157" s="11"/>
      <c r="C157" s="32"/>
      <c r="D157" s="3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2.75" x14ac:dyDescent="0.25">
      <c r="A158" s="11"/>
      <c r="B158" s="11"/>
      <c r="C158" s="32"/>
      <c r="D158" s="3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2.75" x14ac:dyDescent="0.25">
      <c r="A159" s="11"/>
      <c r="B159" s="11"/>
      <c r="C159" s="32"/>
      <c r="D159" s="3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2.75" x14ac:dyDescent="0.25">
      <c r="A160" s="11"/>
      <c r="B160" s="11"/>
      <c r="C160" s="32"/>
      <c r="D160" s="3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2.75" x14ac:dyDescent="0.25">
      <c r="A161" s="11"/>
      <c r="B161" s="11"/>
      <c r="C161" s="32"/>
      <c r="D161" s="3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2.75" x14ac:dyDescent="0.25">
      <c r="A162" s="11"/>
      <c r="B162" s="11"/>
      <c r="C162" s="32"/>
      <c r="D162" s="3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2.75" x14ac:dyDescent="0.25">
      <c r="A163" s="11"/>
      <c r="B163" s="11"/>
      <c r="C163" s="32"/>
      <c r="D163" s="3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2.75" x14ac:dyDescent="0.25">
      <c r="A164" s="11"/>
      <c r="B164" s="11"/>
      <c r="C164" s="32"/>
      <c r="D164" s="3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2.75" x14ac:dyDescent="0.25">
      <c r="A165" s="11"/>
      <c r="B165" s="11"/>
      <c r="C165" s="32"/>
      <c r="D165" s="3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2.75" x14ac:dyDescent="0.25">
      <c r="A166" s="11"/>
      <c r="B166" s="11"/>
      <c r="C166" s="32"/>
      <c r="D166" s="3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2.75" x14ac:dyDescent="0.25">
      <c r="A167" s="11"/>
      <c r="B167" s="11"/>
      <c r="C167" s="32"/>
      <c r="D167" s="3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2.75" x14ac:dyDescent="0.25">
      <c r="A168" s="11"/>
      <c r="B168" s="11"/>
      <c r="C168" s="32"/>
      <c r="D168" s="3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2.75" x14ac:dyDescent="0.25">
      <c r="A169" s="11"/>
      <c r="B169" s="11"/>
      <c r="C169" s="32"/>
      <c r="D169" s="3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2.75" x14ac:dyDescent="0.25">
      <c r="A170" s="11"/>
      <c r="B170" s="11"/>
      <c r="C170" s="32"/>
      <c r="D170" s="3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2.75" x14ac:dyDescent="0.25">
      <c r="A171" s="11"/>
      <c r="B171" s="11"/>
      <c r="C171" s="32"/>
      <c r="D171" s="3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2.75" x14ac:dyDescent="0.25">
      <c r="A172" s="11"/>
      <c r="B172" s="11"/>
      <c r="C172" s="32"/>
      <c r="D172" s="3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2.75" x14ac:dyDescent="0.25">
      <c r="A173" s="11"/>
      <c r="B173" s="11"/>
      <c r="C173" s="32"/>
      <c r="D173" s="3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2.75" x14ac:dyDescent="0.25">
      <c r="A174" s="11"/>
      <c r="B174" s="11"/>
      <c r="C174" s="32"/>
      <c r="D174" s="3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2.75" x14ac:dyDescent="0.25">
      <c r="A175" s="11"/>
      <c r="B175" s="11"/>
      <c r="C175" s="32"/>
      <c r="D175" s="3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2.75" x14ac:dyDescent="0.25">
      <c r="A176" s="11"/>
      <c r="B176" s="11"/>
      <c r="C176" s="32"/>
      <c r="D176" s="3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2.75" x14ac:dyDescent="0.25">
      <c r="A177" s="11"/>
      <c r="B177" s="11"/>
      <c r="C177" s="32"/>
      <c r="D177" s="3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2.75" x14ac:dyDescent="0.25">
      <c r="A178" s="11"/>
      <c r="B178" s="11"/>
      <c r="C178" s="32"/>
      <c r="D178" s="3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2.75" x14ac:dyDescent="0.25">
      <c r="A179" s="11"/>
      <c r="B179" s="11"/>
      <c r="C179" s="32"/>
      <c r="D179" s="3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2.75" x14ac:dyDescent="0.25">
      <c r="A180" s="11"/>
      <c r="B180" s="11"/>
      <c r="C180" s="32"/>
      <c r="D180" s="3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2.75" x14ac:dyDescent="0.25">
      <c r="A181" s="11"/>
      <c r="B181" s="11"/>
      <c r="C181" s="32"/>
      <c r="D181" s="3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2.75" x14ac:dyDescent="0.25">
      <c r="A182" s="11"/>
      <c r="B182" s="11"/>
      <c r="C182" s="32"/>
      <c r="D182" s="3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2.75" x14ac:dyDescent="0.25">
      <c r="A183" s="11"/>
      <c r="B183" s="11"/>
      <c r="C183" s="32"/>
      <c r="D183" s="3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2.75" x14ac:dyDescent="0.25">
      <c r="A184" s="11"/>
      <c r="B184" s="11"/>
      <c r="C184" s="32"/>
      <c r="D184" s="3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2.75" x14ac:dyDescent="0.25">
      <c r="A185" s="11"/>
      <c r="B185" s="11"/>
      <c r="C185" s="32"/>
      <c r="D185" s="3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2.75" x14ac:dyDescent="0.25">
      <c r="A186" s="11"/>
      <c r="B186" s="11"/>
      <c r="C186" s="32"/>
      <c r="D186" s="3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2.75" x14ac:dyDescent="0.25">
      <c r="A187" s="11"/>
      <c r="B187" s="11"/>
      <c r="C187" s="32"/>
      <c r="D187" s="3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2.75" x14ac:dyDescent="0.25">
      <c r="A188" s="11"/>
      <c r="B188" s="11"/>
      <c r="C188" s="32"/>
      <c r="D188" s="3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2.75" x14ac:dyDescent="0.25">
      <c r="A189" s="11"/>
      <c r="B189" s="11"/>
      <c r="C189" s="32"/>
      <c r="D189" s="3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2.75" x14ac:dyDescent="0.25">
      <c r="A190" s="11"/>
      <c r="B190" s="11"/>
      <c r="C190" s="32"/>
      <c r="D190" s="3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2.75" x14ac:dyDescent="0.25">
      <c r="A191" s="11"/>
      <c r="B191" s="11"/>
      <c r="C191" s="32"/>
      <c r="D191" s="3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2.75" x14ac:dyDescent="0.25">
      <c r="A192" s="11"/>
      <c r="B192" s="11"/>
      <c r="C192" s="32"/>
      <c r="D192" s="3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2.75" x14ac:dyDescent="0.25">
      <c r="A193" s="11"/>
      <c r="B193" s="11"/>
      <c r="C193" s="32"/>
      <c r="D193" s="3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2.75" x14ac:dyDescent="0.25">
      <c r="A194" s="11"/>
      <c r="B194" s="11"/>
      <c r="C194" s="32"/>
      <c r="D194" s="3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2.75" x14ac:dyDescent="0.25">
      <c r="A195" s="11"/>
      <c r="B195" s="11"/>
      <c r="C195" s="32"/>
      <c r="D195" s="3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2.75" x14ac:dyDescent="0.25">
      <c r="A196" s="11"/>
      <c r="B196" s="11"/>
      <c r="C196" s="32"/>
      <c r="D196" s="3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2.75" x14ac:dyDescent="0.25">
      <c r="A197" s="11"/>
      <c r="B197" s="11"/>
      <c r="C197" s="32"/>
      <c r="D197" s="3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2.75" x14ac:dyDescent="0.25">
      <c r="A198" s="11"/>
      <c r="B198" s="11"/>
      <c r="C198" s="32"/>
      <c r="D198" s="3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2.75" x14ac:dyDescent="0.25">
      <c r="A199" s="11"/>
      <c r="B199" s="11"/>
      <c r="C199" s="32"/>
      <c r="D199" s="3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2.75" x14ac:dyDescent="0.25">
      <c r="A200" s="11"/>
      <c r="B200" s="11"/>
      <c r="C200" s="32"/>
      <c r="D200" s="3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2.75" x14ac:dyDescent="0.25">
      <c r="A201" s="11"/>
      <c r="B201" s="11"/>
      <c r="C201" s="32"/>
      <c r="D201" s="3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2.75" x14ac:dyDescent="0.25">
      <c r="A202" s="11"/>
      <c r="B202" s="11"/>
      <c r="C202" s="32"/>
      <c r="D202" s="3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2.75" x14ac:dyDescent="0.25">
      <c r="A203" s="11"/>
      <c r="B203" s="11"/>
      <c r="C203" s="32"/>
      <c r="D203" s="3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2.75" x14ac:dyDescent="0.25">
      <c r="A204" s="11"/>
      <c r="B204" s="11"/>
      <c r="C204" s="32"/>
      <c r="D204" s="3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2.75" x14ac:dyDescent="0.25">
      <c r="A205" s="11"/>
      <c r="B205" s="11"/>
      <c r="C205" s="32"/>
      <c r="D205" s="3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2.75" x14ac:dyDescent="0.25">
      <c r="A206" s="11"/>
      <c r="B206" s="11"/>
      <c r="C206" s="32"/>
      <c r="D206" s="3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2.75" x14ac:dyDescent="0.25">
      <c r="A207" s="11"/>
      <c r="B207" s="11"/>
      <c r="C207" s="32"/>
      <c r="D207" s="3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2.75" x14ac:dyDescent="0.25">
      <c r="A208" s="11"/>
      <c r="B208" s="11"/>
      <c r="C208" s="32"/>
      <c r="D208" s="3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2.75" x14ac:dyDescent="0.25">
      <c r="A209" s="11"/>
      <c r="B209" s="11"/>
      <c r="C209" s="32"/>
      <c r="D209" s="3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2.75" x14ac:dyDescent="0.25">
      <c r="A210" s="11"/>
      <c r="B210" s="11"/>
      <c r="C210" s="32"/>
      <c r="D210" s="3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2.75" x14ac:dyDescent="0.25">
      <c r="A211" s="11"/>
      <c r="B211" s="11"/>
      <c r="C211" s="32"/>
      <c r="D211" s="3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2.75" x14ac:dyDescent="0.25">
      <c r="A212" s="11"/>
      <c r="B212" s="11"/>
      <c r="C212" s="32"/>
      <c r="D212" s="3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2.75" x14ac:dyDescent="0.25">
      <c r="A213" s="11"/>
      <c r="B213" s="11"/>
      <c r="C213" s="32"/>
      <c r="D213" s="3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2.75" x14ac:dyDescent="0.25">
      <c r="A214" s="11"/>
      <c r="B214" s="11"/>
      <c r="C214" s="32"/>
      <c r="D214" s="3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2.75" x14ac:dyDescent="0.25">
      <c r="A215" s="11"/>
      <c r="B215" s="11"/>
      <c r="C215" s="32"/>
      <c r="D215" s="3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2.75" x14ac:dyDescent="0.25">
      <c r="A216" s="11"/>
      <c r="B216" s="11"/>
      <c r="C216" s="32"/>
      <c r="D216" s="3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2.75" x14ac:dyDescent="0.25">
      <c r="A217" s="11"/>
      <c r="B217" s="11"/>
      <c r="C217" s="32"/>
      <c r="D217" s="3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2.75" x14ac:dyDescent="0.25">
      <c r="A218" s="11"/>
      <c r="B218" s="11"/>
      <c r="C218" s="32"/>
      <c r="D218" s="3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2.75" x14ac:dyDescent="0.25">
      <c r="A219" s="11"/>
      <c r="B219" s="11"/>
      <c r="C219" s="32"/>
      <c r="D219" s="3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2.75" x14ac:dyDescent="0.25">
      <c r="A220" s="11"/>
      <c r="B220" s="11"/>
      <c r="C220" s="32"/>
      <c r="D220" s="3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2.75" x14ac:dyDescent="0.25">
      <c r="A221" s="11"/>
      <c r="B221" s="11"/>
      <c r="C221" s="32"/>
      <c r="D221" s="3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2.75" x14ac:dyDescent="0.25">
      <c r="A222" s="11"/>
      <c r="B222" s="11"/>
      <c r="C222" s="32"/>
      <c r="D222" s="3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2.75" x14ac:dyDescent="0.25">
      <c r="A223" s="11"/>
      <c r="B223" s="11"/>
      <c r="C223" s="32"/>
      <c r="D223" s="3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2.75" x14ac:dyDescent="0.25">
      <c r="A224" s="11"/>
      <c r="B224" s="11"/>
      <c r="C224" s="32"/>
      <c r="D224" s="3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2.75" x14ac:dyDescent="0.25">
      <c r="A225" s="11"/>
      <c r="B225" s="11"/>
      <c r="C225" s="32"/>
      <c r="D225" s="3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2.75" x14ac:dyDescent="0.25">
      <c r="A226" s="11"/>
      <c r="B226" s="11"/>
      <c r="C226" s="32"/>
      <c r="D226" s="3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2.75" x14ac:dyDescent="0.25">
      <c r="A227" s="11"/>
      <c r="B227" s="11"/>
      <c r="C227" s="32"/>
      <c r="D227" s="3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2.75" x14ac:dyDescent="0.25">
      <c r="A228" s="11"/>
      <c r="B228" s="11"/>
      <c r="C228" s="32"/>
      <c r="D228" s="3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2.75" x14ac:dyDescent="0.25">
      <c r="A229" s="11"/>
      <c r="B229" s="11"/>
      <c r="C229" s="32"/>
      <c r="D229" s="3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2.75" x14ac:dyDescent="0.25">
      <c r="A230" s="11"/>
      <c r="B230" s="11"/>
      <c r="C230" s="32"/>
      <c r="D230" s="3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2.75" x14ac:dyDescent="0.25">
      <c r="A231" s="11"/>
      <c r="B231" s="11"/>
      <c r="C231" s="32"/>
      <c r="D231" s="3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2.75" x14ac:dyDescent="0.25">
      <c r="A232" s="11"/>
      <c r="B232" s="11"/>
      <c r="C232" s="32"/>
      <c r="D232" s="3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2.75" x14ac:dyDescent="0.25">
      <c r="A233" s="11"/>
      <c r="B233" s="11"/>
      <c r="C233" s="32"/>
      <c r="D233" s="3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2.75" x14ac:dyDescent="0.25">
      <c r="A234" s="11"/>
      <c r="B234" s="11"/>
      <c r="C234" s="32"/>
      <c r="D234" s="3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2.75" x14ac:dyDescent="0.25">
      <c r="A235" s="11"/>
      <c r="B235" s="11"/>
      <c r="C235" s="32"/>
      <c r="D235" s="3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2.75" x14ac:dyDescent="0.25">
      <c r="A236" s="11"/>
      <c r="B236" s="11"/>
      <c r="C236" s="32"/>
      <c r="D236" s="3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2.75" x14ac:dyDescent="0.25">
      <c r="A237" s="11"/>
      <c r="B237" s="11"/>
      <c r="C237" s="32"/>
      <c r="D237" s="3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2.75" x14ac:dyDescent="0.25">
      <c r="A238" s="11"/>
      <c r="B238" s="11"/>
      <c r="C238" s="32"/>
      <c r="D238" s="3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2.75" x14ac:dyDescent="0.25">
      <c r="A239" s="11"/>
      <c r="B239" s="11"/>
      <c r="C239" s="32"/>
      <c r="D239" s="3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2.75" x14ac:dyDescent="0.25">
      <c r="A240" s="11"/>
      <c r="B240" s="11"/>
      <c r="C240" s="32"/>
      <c r="D240" s="3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2.75" x14ac:dyDescent="0.25">
      <c r="A241" s="11"/>
      <c r="B241" s="11"/>
      <c r="C241" s="32"/>
      <c r="D241" s="3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2.75" x14ac:dyDescent="0.25">
      <c r="A242" s="11"/>
      <c r="B242" s="11"/>
      <c r="C242" s="32"/>
      <c r="D242" s="3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2.75" x14ac:dyDescent="0.25">
      <c r="A243" s="11"/>
      <c r="B243" s="11"/>
      <c r="C243" s="32"/>
      <c r="D243" s="3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2.75" x14ac:dyDescent="0.25">
      <c r="A244" s="11"/>
      <c r="B244" s="11"/>
      <c r="C244" s="32"/>
      <c r="D244" s="3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2.75" x14ac:dyDescent="0.25">
      <c r="A245" s="11"/>
      <c r="B245" s="11"/>
      <c r="C245" s="32"/>
      <c r="D245" s="3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2.75" x14ac:dyDescent="0.25">
      <c r="A246" s="11"/>
      <c r="B246" s="11"/>
      <c r="C246" s="32"/>
      <c r="D246" s="3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2.75" x14ac:dyDescent="0.25">
      <c r="A247" s="11"/>
      <c r="B247" s="11"/>
      <c r="C247" s="32"/>
      <c r="D247" s="3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2.75" x14ac:dyDescent="0.25">
      <c r="A248" s="11"/>
      <c r="B248" s="11"/>
      <c r="C248" s="32"/>
      <c r="D248" s="3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2.75" x14ac:dyDescent="0.25">
      <c r="A249" s="11"/>
      <c r="B249" s="11"/>
      <c r="C249" s="32"/>
      <c r="D249" s="3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2.75" x14ac:dyDescent="0.25">
      <c r="A250" s="11"/>
      <c r="B250" s="11"/>
      <c r="C250" s="32"/>
      <c r="D250" s="3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2.75" x14ac:dyDescent="0.25">
      <c r="A251" s="11"/>
      <c r="B251" s="11"/>
      <c r="C251" s="32"/>
      <c r="D251" s="3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2.75" x14ac:dyDescent="0.25">
      <c r="A252" s="11"/>
      <c r="B252" s="11"/>
      <c r="C252" s="32"/>
      <c r="D252" s="3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2.75" x14ac:dyDescent="0.25">
      <c r="A253" s="11"/>
      <c r="B253" s="11"/>
      <c r="C253" s="32"/>
      <c r="D253" s="3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2.75" x14ac:dyDescent="0.25">
      <c r="A254" s="11"/>
      <c r="B254" s="11"/>
      <c r="C254" s="32"/>
      <c r="D254" s="3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2.75" x14ac:dyDescent="0.25">
      <c r="A255" s="11"/>
      <c r="B255" s="11"/>
      <c r="C255" s="32"/>
      <c r="D255" s="3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2.75" x14ac:dyDescent="0.25">
      <c r="A256" s="11"/>
      <c r="B256" s="11"/>
      <c r="C256" s="32"/>
      <c r="D256" s="3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2.75" x14ac:dyDescent="0.25">
      <c r="A257" s="11"/>
      <c r="B257" s="11"/>
      <c r="C257" s="32"/>
      <c r="D257" s="3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2.75" x14ac:dyDescent="0.25">
      <c r="A258" s="11"/>
      <c r="B258" s="11"/>
      <c r="C258" s="32"/>
      <c r="D258" s="3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2.75" x14ac:dyDescent="0.25">
      <c r="A259" s="11"/>
      <c r="B259" s="11"/>
      <c r="C259" s="32"/>
      <c r="D259" s="3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2.75" x14ac:dyDescent="0.25">
      <c r="A260" s="11"/>
      <c r="B260" s="11"/>
      <c r="C260" s="32"/>
      <c r="D260" s="3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2.75" x14ac:dyDescent="0.25">
      <c r="A261" s="11"/>
      <c r="B261" s="11"/>
      <c r="C261" s="32"/>
      <c r="D261" s="3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2.75" x14ac:dyDescent="0.25">
      <c r="A262" s="11"/>
      <c r="B262" s="11"/>
      <c r="C262" s="32"/>
      <c r="D262" s="3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2.75" x14ac:dyDescent="0.25">
      <c r="A263" s="11"/>
      <c r="B263" s="11"/>
      <c r="C263" s="32"/>
      <c r="D263" s="3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2.75" x14ac:dyDescent="0.25">
      <c r="A264" s="11"/>
      <c r="B264" s="11"/>
      <c r="C264" s="32"/>
      <c r="D264" s="3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2.75" x14ac:dyDescent="0.25">
      <c r="A265" s="11"/>
      <c r="B265" s="11"/>
      <c r="C265" s="32"/>
      <c r="D265" s="3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2.75" x14ac:dyDescent="0.25">
      <c r="A266" s="11"/>
      <c r="B266" s="11"/>
      <c r="C266" s="32"/>
      <c r="D266" s="3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2.75" x14ac:dyDescent="0.25">
      <c r="A267" s="11"/>
      <c r="B267" s="11"/>
      <c r="C267" s="32"/>
      <c r="D267" s="3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2.75" x14ac:dyDescent="0.25">
      <c r="A268" s="11"/>
      <c r="B268" s="11"/>
      <c r="C268" s="32"/>
      <c r="D268" s="3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2.75" x14ac:dyDescent="0.25">
      <c r="A269" s="11"/>
      <c r="B269" s="11"/>
      <c r="C269" s="32"/>
      <c r="D269" s="3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2.75" x14ac:dyDescent="0.25">
      <c r="A270" s="11"/>
      <c r="B270" s="11"/>
      <c r="C270" s="32"/>
      <c r="D270" s="3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2.75" x14ac:dyDescent="0.25">
      <c r="A271" s="11"/>
      <c r="B271" s="11"/>
      <c r="C271" s="32"/>
      <c r="D271" s="3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2.75" x14ac:dyDescent="0.25">
      <c r="A272" s="11"/>
      <c r="B272" s="11"/>
      <c r="C272" s="32"/>
      <c r="D272" s="3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2.75" x14ac:dyDescent="0.25">
      <c r="A273" s="11"/>
      <c r="B273" s="11"/>
      <c r="C273" s="32"/>
      <c r="D273" s="3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2.75" x14ac:dyDescent="0.25">
      <c r="A274" s="11"/>
      <c r="B274" s="11"/>
      <c r="C274" s="32"/>
      <c r="D274" s="3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2.75" x14ac:dyDescent="0.25">
      <c r="A275" s="11"/>
      <c r="B275" s="11"/>
      <c r="C275" s="32"/>
      <c r="D275" s="3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2.75" x14ac:dyDescent="0.25">
      <c r="A276" s="11"/>
      <c r="B276" s="11"/>
      <c r="C276" s="32"/>
      <c r="D276" s="3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2.75" x14ac:dyDescent="0.25">
      <c r="A277" s="11"/>
      <c r="B277" s="11"/>
      <c r="C277" s="32"/>
      <c r="D277" s="3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2.75" x14ac:dyDescent="0.25">
      <c r="A278" s="11"/>
      <c r="B278" s="11"/>
      <c r="C278" s="32"/>
      <c r="D278" s="3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2.75" x14ac:dyDescent="0.25">
      <c r="A279" s="11"/>
      <c r="B279" s="11"/>
      <c r="C279" s="32"/>
      <c r="D279" s="3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2.75" x14ac:dyDescent="0.25">
      <c r="A280" s="11"/>
      <c r="B280" s="11"/>
      <c r="C280" s="32"/>
      <c r="D280" s="3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2.75" x14ac:dyDescent="0.25">
      <c r="A281" s="11"/>
      <c r="B281" s="11"/>
      <c r="C281" s="32"/>
      <c r="D281" s="3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2.75" x14ac:dyDescent="0.25">
      <c r="A282" s="11"/>
      <c r="B282" s="11"/>
      <c r="C282" s="32"/>
      <c r="D282" s="3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2.75" x14ac:dyDescent="0.25">
      <c r="A283" s="11"/>
      <c r="B283" s="11"/>
      <c r="C283" s="32"/>
      <c r="D283" s="3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2.75" x14ac:dyDescent="0.25">
      <c r="A284" s="11"/>
      <c r="B284" s="11"/>
      <c r="C284" s="32"/>
      <c r="D284" s="3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2.75" x14ac:dyDescent="0.25">
      <c r="A285" s="11"/>
      <c r="B285" s="11"/>
      <c r="C285" s="32"/>
      <c r="D285" s="3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2.75" x14ac:dyDescent="0.25">
      <c r="A286" s="11"/>
      <c r="B286" s="11"/>
      <c r="C286" s="32"/>
      <c r="D286" s="3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2.75" x14ac:dyDescent="0.25">
      <c r="A287" s="11"/>
      <c r="B287" s="11"/>
      <c r="C287" s="32"/>
      <c r="D287" s="3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2.75" x14ac:dyDescent="0.25">
      <c r="A288" s="11"/>
      <c r="B288" s="11"/>
      <c r="C288" s="32"/>
      <c r="D288" s="3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2.75" x14ac:dyDescent="0.25">
      <c r="A289" s="11"/>
      <c r="B289" s="11"/>
      <c r="C289" s="32"/>
      <c r="D289" s="3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2.75" x14ac:dyDescent="0.25">
      <c r="A290" s="11"/>
      <c r="B290" s="11"/>
      <c r="C290" s="32"/>
      <c r="D290" s="3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2.75" x14ac:dyDescent="0.25">
      <c r="A291" s="11"/>
      <c r="B291" s="11"/>
      <c r="C291" s="32"/>
      <c r="D291" s="3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2.75" x14ac:dyDescent="0.25">
      <c r="A292" s="11"/>
      <c r="B292" s="11"/>
      <c r="C292" s="32"/>
      <c r="D292" s="3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2.75" x14ac:dyDescent="0.25">
      <c r="A293" s="11"/>
      <c r="B293" s="11"/>
      <c r="C293" s="32"/>
      <c r="D293" s="3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2.75" x14ac:dyDescent="0.25">
      <c r="A294" s="11"/>
      <c r="B294" s="11"/>
      <c r="C294" s="32"/>
      <c r="D294" s="3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2.75" x14ac:dyDescent="0.25">
      <c r="A295" s="11"/>
      <c r="B295" s="11"/>
      <c r="C295" s="32"/>
      <c r="D295" s="3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2.75" x14ac:dyDescent="0.25">
      <c r="A296" s="11"/>
      <c r="B296" s="11"/>
      <c r="C296" s="32"/>
      <c r="D296" s="3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2.75" x14ac:dyDescent="0.25">
      <c r="A297" s="11"/>
      <c r="B297" s="11"/>
      <c r="C297" s="32"/>
      <c r="D297" s="3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2.75" x14ac:dyDescent="0.25">
      <c r="A298" s="11"/>
      <c r="B298" s="11"/>
      <c r="C298" s="32"/>
      <c r="D298" s="3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2.75" x14ac:dyDescent="0.25">
      <c r="A299" s="11"/>
      <c r="B299" s="11"/>
      <c r="C299" s="32"/>
      <c r="D299" s="3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2.75" x14ac:dyDescent="0.25">
      <c r="A300" s="11"/>
      <c r="B300" s="11"/>
      <c r="C300" s="32"/>
      <c r="D300" s="3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2.75" x14ac:dyDescent="0.25">
      <c r="A301" s="11"/>
      <c r="B301" s="11"/>
      <c r="C301" s="32"/>
      <c r="D301" s="3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2.75" x14ac:dyDescent="0.25">
      <c r="A302" s="11"/>
      <c r="B302" s="11"/>
      <c r="C302" s="32"/>
      <c r="D302" s="3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2.75" x14ac:dyDescent="0.25">
      <c r="A303" s="11"/>
      <c r="B303" s="11"/>
      <c r="C303" s="32"/>
      <c r="D303" s="3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2.75" x14ac:dyDescent="0.25">
      <c r="A304" s="11"/>
      <c r="B304" s="11"/>
      <c r="C304" s="32"/>
      <c r="D304" s="3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2.75" x14ac:dyDescent="0.25">
      <c r="A305" s="11"/>
      <c r="B305" s="11"/>
      <c r="C305" s="32"/>
      <c r="D305" s="3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2.75" x14ac:dyDescent="0.25">
      <c r="A306" s="11"/>
      <c r="B306" s="11"/>
      <c r="C306" s="32"/>
      <c r="D306" s="3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2.75" x14ac:dyDescent="0.25">
      <c r="A307" s="11"/>
      <c r="B307" s="11"/>
      <c r="C307" s="32"/>
      <c r="D307" s="3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2.75" x14ac:dyDescent="0.25">
      <c r="A308" s="11"/>
      <c r="B308" s="11"/>
      <c r="C308" s="32"/>
      <c r="D308" s="3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2.75" x14ac:dyDescent="0.25">
      <c r="A309" s="11"/>
      <c r="B309" s="11"/>
      <c r="C309" s="32"/>
      <c r="D309" s="3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2.75" x14ac:dyDescent="0.25">
      <c r="A310" s="11"/>
      <c r="B310" s="11"/>
      <c r="C310" s="32"/>
      <c r="D310" s="3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2.75" x14ac:dyDescent="0.25">
      <c r="A311" s="11"/>
      <c r="B311" s="11"/>
      <c r="C311" s="32"/>
      <c r="D311" s="3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2.75" x14ac:dyDescent="0.25">
      <c r="A312" s="11"/>
      <c r="B312" s="11"/>
      <c r="C312" s="32"/>
      <c r="D312" s="3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2.75" x14ac:dyDescent="0.25">
      <c r="A313" s="11"/>
      <c r="B313" s="11"/>
      <c r="C313" s="32"/>
      <c r="D313" s="3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2.75" x14ac:dyDescent="0.25">
      <c r="A314" s="11"/>
      <c r="B314" s="11"/>
      <c r="C314" s="32"/>
      <c r="D314" s="3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2.75" x14ac:dyDescent="0.25">
      <c r="A315" s="11"/>
      <c r="B315" s="11"/>
      <c r="C315" s="32"/>
      <c r="D315" s="3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2.75" x14ac:dyDescent="0.25">
      <c r="A316" s="11"/>
      <c r="B316" s="11"/>
      <c r="C316" s="32"/>
      <c r="D316" s="3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2.75" x14ac:dyDescent="0.25">
      <c r="A317" s="11"/>
      <c r="B317" s="11"/>
      <c r="C317" s="32"/>
      <c r="D317" s="3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2.75" x14ac:dyDescent="0.25">
      <c r="A318" s="11"/>
      <c r="B318" s="11"/>
      <c r="C318" s="32"/>
      <c r="D318" s="3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2.75" x14ac:dyDescent="0.25">
      <c r="A319" s="11"/>
      <c r="B319" s="11"/>
      <c r="C319" s="32"/>
      <c r="D319" s="3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2.75" x14ac:dyDescent="0.25">
      <c r="A320" s="11"/>
      <c r="B320" s="11"/>
      <c r="C320" s="32"/>
      <c r="D320" s="3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2.75" x14ac:dyDescent="0.25">
      <c r="A321" s="11"/>
      <c r="B321" s="11"/>
      <c r="C321" s="32"/>
      <c r="D321" s="3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2.75" x14ac:dyDescent="0.25">
      <c r="A322" s="11"/>
      <c r="B322" s="11"/>
      <c r="C322" s="32"/>
      <c r="D322" s="3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2.75" x14ac:dyDescent="0.25">
      <c r="A323" s="11"/>
      <c r="B323" s="11"/>
      <c r="C323" s="32"/>
      <c r="D323" s="3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2.75" x14ac:dyDescent="0.25">
      <c r="A324" s="11"/>
      <c r="B324" s="11"/>
      <c r="C324" s="32"/>
      <c r="D324" s="3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2.75" x14ac:dyDescent="0.25">
      <c r="A325" s="11"/>
      <c r="B325" s="11"/>
      <c r="C325" s="32"/>
      <c r="D325" s="3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2.75" x14ac:dyDescent="0.25">
      <c r="A326" s="11"/>
      <c r="B326" s="11"/>
      <c r="C326" s="32"/>
      <c r="D326" s="3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2.75" x14ac:dyDescent="0.25">
      <c r="A327" s="11"/>
      <c r="B327" s="11"/>
      <c r="C327" s="32"/>
      <c r="D327" s="3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2.75" x14ac:dyDescent="0.25">
      <c r="A328" s="11"/>
      <c r="B328" s="11"/>
      <c r="C328" s="32"/>
      <c r="D328" s="3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2.75" x14ac:dyDescent="0.25">
      <c r="A329" s="11"/>
      <c r="B329" s="11"/>
      <c r="C329" s="32"/>
      <c r="D329" s="3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2.75" x14ac:dyDescent="0.25">
      <c r="A330" s="11"/>
      <c r="B330" s="11"/>
      <c r="C330" s="32"/>
      <c r="D330" s="3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2.75" x14ac:dyDescent="0.25">
      <c r="A331" s="11"/>
      <c r="B331" s="11"/>
      <c r="C331" s="32"/>
      <c r="D331" s="3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2.75" x14ac:dyDescent="0.25">
      <c r="A332" s="11"/>
      <c r="B332" s="11"/>
      <c r="C332" s="32"/>
      <c r="D332" s="3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2.75" x14ac:dyDescent="0.25">
      <c r="A333" s="11"/>
      <c r="B333" s="11"/>
      <c r="C333" s="32"/>
      <c r="D333" s="3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2.75" x14ac:dyDescent="0.25">
      <c r="A334" s="11"/>
      <c r="B334" s="11"/>
      <c r="C334" s="32"/>
      <c r="D334" s="3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2.75" x14ac:dyDescent="0.25">
      <c r="A335" s="11"/>
      <c r="B335" s="11"/>
      <c r="C335" s="32"/>
      <c r="D335" s="3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2.75" x14ac:dyDescent="0.25">
      <c r="A336" s="11"/>
      <c r="B336" s="11"/>
      <c r="C336" s="32"/>
      <c r="D336" s="3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2.75" x14ac:dyDescent="0.25">
      <c r="A337" s="11"/>
      <c r="B337" s="11"/>
      <c r="C337" s="32"/>
      <c r="D337" s="3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2.75" x14ac:dyDescent="0.25">
      <c r="A338" s="11"/>
      <c r="B338" s="11"/>
      <c r="C338" s="32"/>
      <c r="D338" s="3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2.75" x14ac:dyDescent="0.25">
      <c r="A339" s="11"/>
      <c r="B339" s="11"/>
      <c r="C339" s="32"/>
      <c r="D339" s="3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2.75" x14ac:dyDescent="0.25">
      <c r="A340" s="11"/>
      <c r="B340" s="11"/>
      <c r="C340" s="32"/>
      <c r="D340" s="3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2.75" x14ac:dyDescent="0.25">
      <c r="A341" s="11"/>
      <c r="B341" s="11"/>
      <c r="C341" s="32"/>
      <c r="D341" s="3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2.75" x14ac:dyDescent="0.25">
      <c r="A342" s="11"/>
      <c r="B342" s="11"/>
      <c r="C342" s="32"/>
      <c r="D342" s="3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2.75" x14ac:dyDescent="0.25">
      <c r="A343" s="11"/>
      <c r="B343" s="11"/>
      <c r="C343" s="32"/>
      <c r="D343" s="3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2.75" x14ac:dyDescent="0.25">
      <c r="A344" s="11"/>
      <c r="B344" s="11"/>
      <c r="C344" s="32"/>
      <c r="D344" s="3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2.75" x14ac:dyDescent="0.25">
      <c r="A345" s="11"/>
      <c r="B345" s="11"/>
      <c r="C345" s="32"/>
      <c r="D345" s="3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2.75" x14ac:dyDescent="0.25">
      <c r="A346" s="11"/>
      <c r="B346" s="11"/>
      <c r="C346" s="32"/>
      <c r="D346" s="3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2.75" x14ac:dyDescent="0.25">
      <c r="A347" s="11"/>
      <c r="B347" s="11"/>
      <c r="C347" s="32"/>
      <c r="D347" s="3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2.75" x14ac:dyDescent="0.25">
      <c r="A348" s="11"/>
      <c r="B348" s="11"/>
      <c r="C348" s="32"/>
      <c r="D348" s="3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2.75" x14ac:dyDescent="0.25">
      <c r="A349" s="11"/>
      <c r="B349" s="11"/>
      <c r="C349" s="32"/>
      <c r="D349" s="3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2.75" x14ac:dyDescent="0.25">
      <c r="A350" s="11"/>
      <c r="B350" s="11"/>
      <c r="C350" s="32"/>
      <c r="D350" s="3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2.75" x14ac:dyDescent="0.25">
      <c r="A351" s="11"/>
      <c r="B351" s="11"/>
      <c r="C351" s="32"/>
      <c r="D351" s="3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2.75" x14ac:dyDescent="0.25">
      <c r="A352" s="11"/>
      <c r="B352" s="11"/>
      <c r="C352" s="32"/>
      <c r="D352" s="3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2.75" x14ac:dyDescent="0.25">
      <c r="A353" s="11"/>
      <c r="B353" s="11"/>
      <c r="C353" s="32"/>
      <c r="D353" s="3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2.75" x14ac:dyDescent="0.25">
      <c r="A354" s="11"/>
      <c r="B354" s="11"/>
      <c r="C354" s="32"/>
      <c r="D354" s="3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2.75" x14ac:dyDescent="0.25">
      <c r="A355" s="11"/>
      <c r="B355" s="11"/>
      <c r="C355" s="32"/>
      <c r="D355" s="3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2.75" x14ac:dyDescent="0.25">
      <c r="A356" s="11"/>
      <c r="B356" s="11"/>
      <c r="C356" s="32"/>
      <c r="D356" s="3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2.75" x14ac:dyDescent="0.25">
      <c r="A357" s="11"/>
      <c r="B357" s="11"/>
      <c r="C357" s="32"/>
      <c r="D357" s="3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2.75" x14ac:dyDescent="0.25">
      <c r="A358" s="11"/>
      <c r="B358" s="11"/>
      <c r="C358" s="32"/>
      <c r="D358" s="3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2.75" x14ac:dyDescent="0.25">
      <c r="A359" s="11"/>
      <c r="B359" s="11"/>
      <c r="C359" s="32"/>
      <c r="D359" s="3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2.75" x14ac:dyDescent="0.25">
      <c r="A360" s="11"/>
      <c r="B360" s="11"/>
      <c r="C360" s="32"/>
      <c r="D360" s="3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2.75" x14ac:dyDescent="0.25">
      <c r="A361" s="11"/>
      <c r="B361" s="11"/>
      <c r="C361" s="32"/>
      <c r="D361" s="3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2.75" x14ac:dyDescent="0.25">
      <c r="A362" s="11"/>
      <c r="B362" s="11"/>
      <c r="C362" s="32"/>
      <c r="D362" s="3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2.75" x14ac:dyDescent="0.25">
      <c r="A363" s="11"/>
      <c r="B363" s="11"/>
      <c r="C363" s="32"/>
      <c r="D363" s="3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2.75" x14ac:dyDescent="0.25">
      <c r="A364" s="11"/>
      <c r="B364" s="11"/>
      <c r="C364" s="32"/>
      <c r="D364" s="3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2.75" x14ac:dyDescent="0.25">
      <c r="A365" s="11"/>
      <c r="B365" s="11"/>
      <c r="C365" s="32"/>
      <c r="D365" s="3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2.75" x14ac:dyDescent="0.25">
      <c r="A366" s="11"/>
      <c r="B366" s="11"/>
      <c r="C366" s="32"/>
      <c r="D366" s="3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2.75" x14ac:dyDescent="0.25">
      <c r="A367" s="11"/>
      <c r="B367" s="11"/>
      <c r="C367" s="32"/>
      <c r="D367" s="3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2.75" x14ac:dyDescent="0.25">
      <c r="A368" s="11"/>
      <c r="B368" s="11"/>
      <c r="C368" s="32"/>
      <c r="D368" s="3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2.75" x14ac:dyDescent="0.25">
      <c r="A369" s="11"/>
      <c r="B369" s="11"/>
      <c r="C369" s="32"/>
      <c r="D369" s="3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2.75" x14ac:dyDescent="0.25">
      <c r="A370" s="11"/>
      <c r="B370" s="11"/>
      <c r="C370" s="32"/>
      <c r="D370" s="3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2.75" x14ac:dyDescent="0.25">
      <c r="A371" s="11"/>
      <c r="B371" s="11"/>
      <c r="C371" s="32"/>
      <c r="D371" s="3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2.75" x14ac:dyDescent="0.25">
      <c r="A372" s="11"/>
      <c r="B372" s="11"/>
      <c r="C372" s="32"/>
      <c r="D372" s="3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2.75" x14ac:dyDescent="0.25">
      <c r="A373" s="11"/>
      <c r="B373" s="11"/>
      <c r="C373" s="32"/>
      <c r="D373" s="3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2.75" x14ac:dyDescent="0.25">
      <c r="A374" s="11"/>
      <c r="B374" s="11"/>
      <c r="C374" s="32"/>
      <c r="D374" s="3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2.75" x14ac:dyDescent="0.25">
      <c r="A375" s="11"/>
      <c r="B375" s="11"/>
      <c r="C375" s="32"/>
      <c r="D375" s="3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2.75" x14ac:dyDescent="0.25">
      <c r="A376" s="11"/>
      <c r="B376" s="11"/>
      <c r="C376" s="32"/>
      <c r="D376" s="3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2.75" x14ac:dyDescent="0.25">
      <c r="A377" s="11"/>
      <c r="B377" s="11"/>
      <c r="C377" s="32"/>
      <c r="D377" s="3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2.75" x14ac:dyDescent="0.25">
      <c r="A378" s="11"/>
      <c r="B378" s="11"/>
      <c r="C378" s="32"/>
      <c r="D378" s="3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2.75" x14ac:dyDescent="0.25">
      <c r="A379" s="11"/>
      <c r="B379" s="11"/>
      <c r="C379" s="32"/>
      <c r="D379" s="3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2.75" x14ac:dyDescent="0.25">
      <c r="A380" s="11"/>
      <c r="B380" s="11"/>
      <c r="C380" s="32"/>
      <c r="D380" s="3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2.75" x14ac:dyDescent="0.25">
      <c r="A381" s="11"/>
      <c r="B381" s="11"/>
      <c r="C381" s="32"/>
      <c r="D381" s="3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2.75" x14ac:dyDescent="0.25">
      <c r="A382" s="11"/>
      <c r="B382" s="11"/>
      <c r="C382" s="32"/>
      <c r="D382" s="3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2.75" x14ac:dyDescent="0.25">
      <c r="A383" s="11"/>
      <c r="B383" s="11"/>
      <c r="C383" s="32"/>
      <c r="D383" s="3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2.75" x14ac:dyDescent="0.25">
      <c r="A384" s="11"/>
      <c r="B384" s="11"/>
      <c r="C384" s="32"/>
      <c r="D384" s="3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2.75" x14ac:dyDescent="0.25">
      <c r="A385" s="11"/>
      <c r="B385" s="11"/>
      <c r="C385" s="32"/>
      <c r="D385" s="3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2.75" x14ac:dyDescent="0.25">
      <c r="A386" s="11"/>
      <c r="B386" s="11"/>
      <c r="C386" s="32"/>
      <c r="D386" s="3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2.75" x14ac:dyDescent="0.25">
      <c r="A387" s="11"/>
      <c r="B387" s="11"/>
      <c r="C387" s="32"/>
      <c r="D387" s="3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2.75" x14ac:dyDescent="0.25">
      <c r="A388" s="11"/>
      <c r="B388" s="11"/>
      <c r="C388" s="32"/>
      <c r="D388" s="3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2.75" x14ac:dyDescent="0.25">
      <c r="A389" s="11"/>
      <c r="B389" s="11"/>
      <c r="C389" s="32"/>
      <c r="D389" s="3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2.75" x14ac:dyDescent="0.25">
      <c r="A390" s="11"/>
      <c r="B390" s="11"/>
      <c r="C390" s="32"/>
      <c r="D390" s="3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2.75" x14ac:dyDescent="0.25">
      <c r="A391" s="11"/>
      <c r="B391" s="11"/>
      <c r="C391" s="32"/>
      <c r="D391" s="3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2.75" x14ac:dyDescent="0.25">
      <c r="A392" s="11"/>
      <c r="B392" s="11"/>
      <c r="C392" s="32"/>
      <c r="D392" s="3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2.75" x14ac:dyDescent="0.25">
      <c r="A393" s="11"/>
      <c r="B393" s="11"/>
      <c r="C393" s="32"/>
      <c r="D393" s="3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2.75" x14ac:dyDescent="0.25">
      <c r="A394" s="11"/>
      <c r="B394" s="11"/>
      <c r="C394" s="32"/>
      <c r="D394" s="3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2.75" x14ac:dyDescent="0.25">
      <c r="A395" s="11"/>
      <c r="B395" s="11"/>
      <c r="C395" s="32"/>
      <c r="D395" s="3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2.75" x14ac:dyDescent="0.25">
      <c r="A396" s="11"/>
      <c r="B396" s="11"/>
      <c r="C396" s="32"/>
      <c r="D396" s="3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2.75" x14ac:dyDescent="0.25">
      <c r="A397" s="11"/>
      <c r="B397" s="11"/>
      <c r="C397" s="32"/>
      <c r="D397" s="3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2.75" x14ac:dyDescent="0.25">
      <c r="A398" s="11"/>
      <c r="B398" s="11"/>
      <c r="C398" s="32"/>
      <c r="D398" s="3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2.75" x14ac:dyDescent="0.25">
      <c r="A399" s="11"/>
      <c r="B399" s="11"/>
      <c r="C399" s="32"/>
      <c r="D399" s="3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2.75" x14ac:dyDescent="0.25">
      <c r="A400" s="11"/>
      <c r="B400" s="11"/>
      <c r="C400" s="32"/>
      <c r="D400" s="3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2.75" x14ac:dyDescent="0.25">
      <c r="A401" s="11"/>
      <c r="B401" s="11"/>
      <c r="C401" s="32"/>
      <c r="D401" s="3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2.75" x14ac:dyDescent="0.25">
      <c r="A402" s="11"/>
      <c r="B402" s="11"/>
      <c r="C402" s="32"/>
      <c r="D402" s="3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2.75" x14ac:dyDescent="0.25">
      <c r="A403" s="11"/>
      <c r="B403" s="11"/>
      <c r="C403" s="32"/>
      <c r="D403" s="3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2.75" x14ac:dyDescent="0.25">
      <c r="A404" s="11"/>
      <c r="B404" s="11"/>
      <c r="C404" s="32"/>
      <c r="D404" s="3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2.75" x14ac:dyDescent="0.25">
      <c r="A405" s="11"/>
      <c r="B405" s="11"/>
      <c r="C405" s="32"/>
      <c r="D405" s="3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2.75" x14ac:dyDescent="0.25">
      <c r="A406" s="11"/>
      <c r="B406" s="11"/>
      <c r="C406" s="32"/>
      <c r="D406" s="3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2.75" x14ac:dyDescent="0.25">
      <c r="A407" s="11"/>
      <c r="B407" s="11"/>
      <c r="C407" s="32"/>
      <c r="D407" s="3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2.75" x14ac:dyDescent="0.25">
      <c r="A408" s="11"/>
      <c r="B408" s="11"/>
      <c r="C408" s="32"/>
      <c r="D408" s="3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2.75" x14ac:dyDescent="0.25">
      <c r="A409" s="11"/>
      <c r="B409" s="11"/>
      <c r="C409" s="32"/>
      <c r="D409" s="3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2.75" x14ac:dyDescent="0.25">
      <c r="A410" s="11"/>
      <c r="B410" s="11"/>
      <c r="C410" s="32"/>
      <c r="D410" s="3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2.75" x14ac:dyDescent="0.25">
      <c r="A411" s="11"/>
      <c r="B411" s="11"/>
      <c r="C411" s="32"/>
      <c r="D411" s="3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2.75" x14ac:dyDescent="0.25">
      <c r="A412" s="11"/>
      <c r="B412" s="11"/>
      <c r="C412" s="32"/>
      <c r="D412" s="3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2.75" x14ac:dyDescent="0.25">
      <c r="A413" s="11"/>
      <c r="B413" s="11"/>
      <c r="C413" s="32"/>
      <c r="D413" s="3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2.75" x14ac:dyDescent="0.25">
      <c r="A414" s="11"/>
      <c r="B414" s="11"/>
      <c r="C414" s="32"/>
      <c r="D414" s="3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2.75" x14ac:dyDescent="0.25">
      <c r="A415" s="11"/>
      <c r="B415" s="11"/>
      <c r="C415" s="32"/>
      <c r="D415" s="3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2.75" x14ac:dyDescent="0.25">
      <c r="A416" s="11"/>
      <c r="B416" s="11"/>
      <c r="C416" s="32"/>
      <c r="D416" s="3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2.75" x14ac:dyDescent="0.25">
      <c r="A417" s="11"/>
      <c r="B417" s="11"/>
      <c r="C417" s="32"/>
      <c r="D417" s="3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2.75" x14ac:dyDescent="0.25">
      <c r="A418" s="11"/>
      <c r="B418" s="11"/>
      <c r="C418" s="32"/>
      <c r="D418" s="3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2.75" x14ac:dyDescent="0.25">
      <c r="A419" s="11"/>
      <c r="B419" s="11"/>
      <c r="C419" s="32"/>
      <c r="D419" s="3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2.75" x14ac:dyDescent="0.25">
      <c r="A420" s="11"/>
      <c r="B420" s="11"/>
      <c r="C420" s="32"/>
      <c r="D420" s="3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2.75" x14ac:dyDescent="0.25">
      <c r="A421" s="11"/>
      <c r="B421" s="11"/>
      <c r="C421" s="32"/>
      <c r="D421" s="3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2.75" x14ac:dyDescent="0.25">
      <c r="A422" s="11"/>
      <c r="B422" s="11"/>
      <c r="C422" s="32"/>
      <c r="D422" s="3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2.75" x14ac:dyDescent="0.25">
      <c r="A423" s="11"/>
      <c r="B423" s="11"/>
      <c r="C423" s="32"/>
      <c r="D423" s="3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2.75" x14ac:dyDescent="0.25">
      <c r="A424" s="11"/>
      <c r="B424" s="11"/>
      <c r="C424" s="32"/>
      <c r="D424" s="3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2.75" x14ac:dyDescent="0.25">
      <c r="A425" s="11"/>
      <c r="B425" s="11"/>
      <c r="C425" s="32"/>
      <c r="D425" s="3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2.75" x14ac:dyDescent="0.25">
      <c r="A426" s="11"/>
      <c r="B426" s="11"/>
      <c r="C426" s="32"/>
      <c r="D426" s="3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2.75" x14ac:dyDescent="0.25">
      <c r="A427" s="11"/>
      <c r="B427" s="11"/>
      <c r="C427" s="32"/>
      <c r="D427" s="3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2.75" x14ac:dyDescent="0.25">
      <c r="A428" s="11"/>
      <c r="B428" s="11"/>
      <c r="C428" s="32"/>
      <c r="D428" s="3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2.75" x14ac:dyDescent="0.25">
      <c r="A429" s="11"/>
      <c r="B429" s="11"/>
      <c r="C429" s="32"/>
      <c r="D429" s="3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2.75" x14ac:dyDescent="0.25">
      <c r="A430" s="11"/>
      <c r="B430" s="11"/>
      <c r="C430" s="32"/>
      <c r="D430" s="3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2.75" x14ac:dyDescent="0.25">
      <c r="A431" s="11"/>
      <c r="B431" s="11"/>
      <c r="C431" s="32"/>
      <c r="D431" s="3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2.75" x14ac:dyDescent="0.25">
      <c r="A432" s="11"/>
      <c r="B432" s="11"/>
      <c r="C432" s="32"/>
      <c r="D432" s="3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2.75" x14ac:dyDescent="0.25">
      <c r="A433" s="11"/>
      <c r="B433" s="11"/>
      <c r="C433" s="32"/>
      <c r="D433" s="3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2.75" x14ac:dyDescent="0.25">
      <c r="A434" s="11"/>
      <c r="B434" s="11"/>
      <c r="C434" s="32"/>
      <c r="D434" s="3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2.75" x14ac:dyDescent="0.25">
      <c r="A435" s="11"/>
      <c r="B435" s="11"/>
      <c r="C435" s="32"/>
      <c r="D435" s="3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2.75" x14ac:dyDescent="0.25">
      <c r="A436" s="11"/>
      <c r="B436" s="11"/>
      <c r="C436" s="32"/>
      <c r="D436" s="3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2.75" x14ac:dyDescent="0.25">
      <c r="A437" s="11"/>
      <c r="B437" s="11"/>
      <c r="C437" s="32"/>
      <c r="D437" s="3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2.75" x14ac:dyDescent="0.25">
      <c r="A438" s="11"/>
      <c r="B438" s="11"/>
      <c r="C438" s="32"/>
      <c r="D438" s="3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2.75" x14ac:dyDescent="0.25">
      <c r="A439" s="11"/>
      <c r="B439" s="11"/>
      <c r="C439" s="32"/>
      <c r="D439" s="3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2.75" x14ac:dyDescent="0.25">
      <c r="A440" s="11"/>
      <c r="B440" s="11"/>
      <c r="C440" s="32"/>
      <c r="D440" s="3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2.75" x14ac:dyDescent="0.25">
      <c r="A441" s="11"/>
      <c r="B441" s="11"/>
      <c r="C441" s="32"/>
      <c r="D441" s="3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2.75" x14ac:dyDescent="0.25">
      <c r="A442" s="11"/>
      <c r="B442" s="11"/>
      <c r="C442" s="32"/>
      <c r="D442" s="3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2.75" x14ac:dyDescent="0.25">
      <c r="A443" s="11"/>
      <c r="B443" s="11"/>
      <c r="C443" s="32"/>
      <c r="D443" s="3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2.75" x14ac:dyDescent="0.25">
      <c r="A444" s="11"/>
      <c r="B444" s="11"/>
      <c r="C444" s="32"/>
      <c r="D444" s="3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2.75" x14ac:dyDescent="0.25">
      <c r="A445" s="11"/>
      <c r="B445" s="11"/>
      <c r="C445" s="32"/>
      <c r="D445" s="3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2.75" x14ac:dyDescent="0.25">
      <c r="A446" s="11"/>
      <c r="B446" s="11"/>
      <c r="C446" s="32"/>
      <c r="D446" s="3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2.75" x14ac:dyDescent="0.25">
      <c r="A447" s="11"/>
      <c r="B447" s="11"/>
      <c r="C447" s="32"/>
      <c r="D447" s="3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2.75" x14ac:dyDescent="0.25">
      <c r="A448" s="11"/>
      <c r="B448" s="11"/>
      <c r="C448" s="32"/>
      <c r="D448" s="3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2.75" x14ac:dyDescent="0.25">
      <c r="A449" s="11"/>
      <c r="B449" s="11"/>
      <c r="C449" s="32"/>
      <c r="D449" s="3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2.75" x14ac:dyDescent="0.25">
      <c r="A450" s="11"/>
      <c r="B450" s="11"/>
      <c r="C450" s="32"/>
      <c r="D450" s="3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2.75" x14ac:dyDescent="0.25">
      <c r="A451" s="11"/>
      <c r="B451" s="11"/>
      <c r="C451" s="32"/>
      <c r="D451" s="3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2.75" x14ac:dyDescent="0.25">
      <c r="A452" s="11"/>
      <c r="B452" s="11"/>
      <c r="C452" s="32"/>
      <c r="D452" s="3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2.75" x14ac:dyDescent="0.25">
      <c r="A453" s="11"/>
      <c r="B453" s="11"/>
      <c r="C453" s="32"/>
      <c r="D453" s="3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2.75" x14ac:dyDescent="0.25">
      <c r="A454" s="11"/>
      <c r="B454" s="11"/>
      <c r="C454" s="32"/>
      <c r="D454" s="3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2.75" x14ac:dyDescent="0.25">
      <c r="A455" s="11"/>
      <c r="B455" s="11"/>
      <c r="C455" s="32"/>
      <c r="D455" s="3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2.75" x14ac:dyDescent="0.25">
      <c r="A456" s="11"/>
      <c r="B456" s="11"/>
      <c r="C456" s="32"/>
      <c r="D456" s="3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2.75" x14ac:dyDescent="0.25">
      <c r="A457" s="11"/>
      <c r="B457" s="11"/>
      <c r="C457" s="32"/>
      <c r="D457" s="3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2.75" x14ac:dyDescent="0.25">
      <c r="A458" s="11"/>
      <c r="B458" s="11"/>
      <c r="C458" s="32"/>
      <c r="D458" s="3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2.75" x14ac:dyDescent="0.25">
      <c r="A459" s="11"/>
      <c r="B459" s="11"/>
      <c r="C459" s="32"/>
      <c r="D459" s="3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2.75" x14ac:dyDescent="0.25">
      <c r="A460" s="11"/>
      <c r="B460" s="11"/>
      <c r="C460" s="32"/>
      <c r="D460" s="3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2.75" x14ac:dyDescent="0.25">
      <c r="A461" s="11"/>
      <c r="B461" s="11"/>
      <c r="C461" s="32"/>
      <c r="D461" s="3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2.75" x14ac:dyDescent="0.25">
      <c r="A462" s="11"/>
      <c r="B462" s="11"/>
      <c r="C462" s="32"/>
      <c r="D462" s="3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2.75" x14ac:dyDescent="0.25">
      <c r="A463" s="11"/>
      <c r="B463" s="11"/>
      <c r="C463" s="32"/>
      <c r="D463" s="3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2.75" x14ac:dyDescent="0.25">
      <c r="A464" s="11"/>
      <c r="B464" s="11"/>
      <c r="C464" s="32"/>
      <c r="D464" s="3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2.75" x14ac:dyDescent="0.25">
      <c r="A465" s="11"/>
      <c r="B465" s="11"/>
      <c r="C465" s="32"/>
      <c r="D465" s="3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2.75" x14ac:dyDescent="0.25">
      <c r="A466" s="11"/>
      <c r="B466" s="11"/>
      <c r="C466" s="32"/>
      <c r="D466" s="3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2.75" x14ac:dyDescent="0.25">
      <c r="A467" s="11"/>
      <c r="B467" s="11"/>
      <c r="C467" s="32"/>
      <c r="D467" s="3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2.75" x14ac:dyDescent="0.25">
      <c r="A468" s="11"/>
      <c r="B468" s="11"/>
      <c r="C468" s="32"/>
      <c r="D468" s="3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2.75" x14ac:dyDescent="0.25">
      <c r="A469" s="11"/>
      <c r="B469" s="11"/>
      <c r="C469" s="32"/>
      <c r="D469" s="3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2.75" x14ac:dyDescent="0.25">
      <c r="A470" s="11"/>
      <c r="B470" s="11"/>
      <c r="C470" s="32"/>
      <c r="D470" s="3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2.75" x14ac:dyDescent="0.25">
      <c r="A471" s="11"/>
      <c r="B471" s="11"/>
      <c r="C471" s="32"/>
      <c r="D471" s="3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2.75" x14ac:dyDescent="0.25">
      <c r="A472" s="11"/>
      <c r="B472" s="11"/>
      <c r="C472" s="32"/>
      <c r="D472" s="3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2.75" x14ac:dyDescent="0.25">
      <c r="A473" s="11"/>
      <c r="B473" s="11"/>
      <c r="C473" s="32"/>
      <c r="D473" s="3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2.75" x14ac:dyDescent="0.25">
      <c r="A474" s="11"/>
      <c r="B474" s="11"/>
      <c r="C474" s="32"/>
      <c r="D474" s="3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2.75" x14ac:dyDescent="0.25">
      <c r="A475" s="11"/>
      <c r="B475" s="11"/>
      <c r="C475" s="32"/>
      <c r="D475" s="3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2.75" x14ac:dyDescent="0.25">
      <c r="A476" s="11"/>
      <c r="B476" s="11"/>
      <c r="C476" s="32"/>
      <c r="D476" s="3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2.75" x14ac:dyDescent="0.25">
      <c r="A477" s="11"/>
      <c r="B477" s="11"/>
      <c r="C477" s="32"/>
      <c r="D477" s="3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2.75" x14ac:dyDescent="0.25">
      <c r="A478" s="11"/>
      <c r="B478" s="11"/>
      <c r="C478" s="32"/>
      <c r="D478" s="3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2.75" x14ac:dyDescent="0.25">
      <c r="A479" s="11"/>
      <c r="B479" s="11"/>
      <c r="C479" s="32"/>
      <c r="D479" s="3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2.75" x14ac:dyDescent="0.25">
      <c r="A480" s="11"/>
      <c r="B480" s="11"/>
      <c r="C480" s="32"/>
      <c r="D480" s="3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2.75" x14ac:dyDescent="0.25">
      <c r="A481" s="11"/>
      <c r="B481" s="11"/>
      <c r="C481" s="32"/>
      <c r="D481" s="3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2.75" x14ac:dyDescent="0.25">
      <c r="A482" s="11"/>
      <c r="B482" s="11"/>
      <c r="C482" s="32"/>
      <c r="D482" s="3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2.75" x14ac:dyDescent="0.25">
      <c r="A483" s="11"/>
      <c r="B483" s="11"/>
      <c r="C483" s="32"/>
      <c r="D483" s="3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2.75" x14ac:dyDescent="0.25">
      <c r="A484" s="11"/>
      <c r="B484" s="11"/>
      <c r="C484" s="32"/>
      <c r="D484" s="3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2.75" x14ac:dyDescent="0.25">
      <c r="A485" s="11"/>
      <c r="B485" s="11"/>
      <c r="C485" s="32"/>
      <c r="D485" s="3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2.75" x14ac:dyDescent="0.25">
      <c r="A486" s="11"/>
      <c r="B486" s="11"/>
      <c r="C486" s="32"/>
      <c r="D486" s="3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2.75" x14ac:dyDescent="0.25">
      <c r="A487" s="11"/>
      <c r="B487" s="11"/>
      <c r="C487" s="32"/>
      <c r="D487" s="3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2.75" x14ac:dyDescent="0.25">
      <c r="A488" s="11"/>
      <c r="B488" s="11"/>
      <c r="C488" s="32"/>
      <c r="D488" s="3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2.75" x14ac:dyDescent="0.25">
      <c r="A489" s="11"/>
      <c r="B489" s="11"/>
      <c r="C489" s="32"/>
      <c r="D489" s="3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2.75" x14ac:dyDescent="0.25">
      <c r="A490" s="11"/>
      <c r="B490" s="11"/>
      <c r="C490" s="32"/>
      <c r="D490" s="3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2.75" x14ac:dyDescent="0.25">
      <c r="A491" s="11"/>
      <c r="B491" s="11"/>
      <c r="C491" s="32"/>
      <c r="D491" s="3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2.75" x14ac:dyDescent="0.25">
      <c r="A492" s="11"/>
      <c r="B492" s="11"/>
      <c r="C492" s="32"/>
      <c r="D492" s="3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2.75" x14ac:dyDescent="0.25">
      <c r="A493" s="11"/>
      <c r="B493" s="11"/>
      <c r="C493" s="32"/>
      <c r="D493" s="3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2.75" x14ac:dyDescent="0.25">
      <c r="A494" s="11"/>
      <c r="B494" s="11"/>
      <c r="C494" s="32"/>
      <c r="D494" s="3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2.75" x14ac:dyDescent="0.25">
      <c r="A495" s="11"/>
      <c r="B495" s="11"/>
      <c r="C495" s="32"/>
      <c r="D495" s="3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2.75" x14ac:dyDescent="0.25">
      <c r="A496" s="11"/>
      <c r="B496" s="11"/>
      <c r="C496" s="32"/>
      <c r="D496" s="3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2.75" x14ac:dyDescent="0.25">
      <c r="A497" s="11"/>
      <c r="B497" s="11"/>
      <c r="C497" s="32"/>
      <c r="D497" s="3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2.75" x14ac:dyDescent="0.25">
      <c r="A498" s="11"/>
      <c r="B498" s="11"/>
      <c r="C498" s="32"/>
      <c r="D498" s="3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2.75" x14ac:dyDescent="0.25">
      <c r="A499" s="11"/>
      <c r="B499" s="11"/>
      <c r="C499" s="32"/>
      <c r="D499" s="3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2.75" x14ac:dyDescent="0.25">
      <c r="A500" s="11"/>
      <c r="B500" s="11"/>
      <c r="C500" s="32"/>
      <c r="D500" s="3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2.75" x14ac:dyDescent="0.25">
      <c r="A501" s="11"/>
      <c r="B501" s="11"/>
      <c r="C501" s="32"/>
      <c r="D501" s="3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2.75" x14ac:dyDescent="0.25">
      <c r="A502" s="11"/>
      <c r="B502" s="11"/>
      <c r="C502" s="32"/>
      <c r="D502" s="3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2.75" x14ac:dyDescent="0.25">
      <c r="A503" s="11"/>
      <c r="B503" s="11"/>
      <c r="C503" s="32"/>
      <c r="D503" s="3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2.75" x14ac:dyDescent="0.25">
      <c r="A504" s="11"/>
      <c r="B504" s="11"/>
      <c r="C504" s="32"/>
      <c r="D504" s="3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2.75" x14ac:dyDescent="0.25">
      <c r="A505" s="11"/>
      <c r="B505" s="11"/>
      <c r="C505" s="32"/>
      <c r="D505" s="3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2.75" x14ac:dyDescent="0.25">
      <c r="A506" s="11"/>
      <c r="B506" s="11"/>
      <c r="C506" s="32"/>
      <c r="D506" s="3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2.75" x14ac:dyDescent="0.25">
      <c r="A507" s="11"/>
      <c r="B507" s="11"/>
      <c r="C507" s="32"/>
      <c r="D507" s="3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2.75" x14ac:dyDescent="0.25">
      <c r="A508" s="11"/>
      <c r="B508" s="11"/>
      <c r="C508" s="32"/>
      <c r="D508" s="3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2.75" x14ac:dyDescent="0.25">
      <c r="A509" s="11"/>
      <c r="B509" s="11"/>
      <c r="C509" s="32"/>
      <c r="D509" s="3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2.75" x14ac:dyDescent="0.25">
      <c r="A510" s="11"/>
      <c r="B510" s="11"/>
      <c r="C510" s="32"/>
      <c r="D510" s="3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2.75" x14ac:dyDescent="0.25">
      <c r="A511" s="11"/>
      <c r="B511" s="11"/>
      <c r="C511" s="32"/>
      <c r="D511" s="3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2.75" x14ac:dyDescent="0.25">
      <c r="A512" s="11"/>
      <c r="B512" s="11"/>
      <c r="C512" s="32"/>
      <c r="D512" s="3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2.75" x14ac:dyDescent="0.25">
      <c r="A513" s="11"/>
      <c r="B513" s="11"/>
      <c r="C513" s="32"/>
      <c r="D513" s="3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2.75" x14ac:dyDescent="0.25">
      <c r="A514" s="11"/>
      <c r="B514" s="11"/>
      <c r="C514" s="32"/>
      <c r="D514" s="3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2.75" x14ac:dyDescent="0.25">
      <c r="A515" s="11"/>
      <c r="B515" s="11"/>
      <c r="C515" s="32"/>
      <c r="D515" s="3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2.75" x14ac:dyDescent="0.25">
      <c r="A516" s="11"/>
      <c r="B516" s="11"/>
      <c r="C516" s="32"/>
      <c r="D516" s="3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2.75" x14ac:dyDescent="0.25">
      <c r="A517" s="11"/>
      <c r="B517" s="11"/>
      <c r="C517" s="32"/>
      <c r="D517" s="3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2.75" x14ac:dyDescent="0.25">
      <c r="A518" s="11"/>
      <c r="B518" s="11"/>
      <c r="C518" s="32"/>
      <c r="D518" s="3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2.75" x14ac:dyDescent="0.25">
      <c r="A519" s="11"/>
      <c r="B519" s="11"/>
      <c r="C519" s="32"/>
      <c r="D519" s="3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2.75" x14ac:dyDescent="0.25">
      <c r="A520" s="11"/>
      <c r="B520" s="11"/>
      <c r="C520" s="32"/>
      <c r="D520" s="3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2.75" x14ac:dyDescent="0.25">
      <c r="A521" s="11"/>
      <c r="B521" s="11"/>
      <c r="C521" s="32"/>
      <c r="D521" s="3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2.75" x14ac:dyDescent="0.25">
      <c r="A522" s="11"/>
      <c r="B522" s="11"/>
      <c r="C522" s="32"/>
      <c r="D522" s="3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2.75" x14ac:dyDescent="0.25">
      <c r="A523" s="11"/>
      <c r="B523" s="11"/>
      <c r="C523" s="32"/>
      <c r="D523" s="3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2.75" x14ac:dyDescent="0.25">
      <c r="A524" s="11"/>
      <c r="B524" s="11"/>
      <c r="C524" s="32"/>
      <c r="D524" s="3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2.75" x14ac:dyDescent="0.25">
      <c r="A525" s="11"/>
      <c r="B525" s="11"/>
      <c r="C525" s="32"/>
      <c r="D525" s="3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2.75" x14ac:dyDescent="0.25">
      <c r="A526" s="11"/>
      <c r="B526" s="11"/>
      <c r="C526" s="32"/>
      <c r="D526" s="3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2.75" x14ac:dyDescent="0.25">
      <c r="A527" s="11"/>
      <c r="B527" s="11"/>
      <c r="C527" s="32"/>
      <c r="D527" s="3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2.75" x14ac:dyDescent="0.25">
      <c r="A528" s="11"/>
      <c r="B528" s="11"/>
      <c r="C528" s="32"/>
      <c r="D528" s="3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2.75" x14ac:dyDescent="0.25">
      <c r="A529" s="11"/>
      <c r="B529" s="11"/>
      <c r="C529" s="32"/>
      <c r="D529" s="3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2.75" x14ac:dyDescent="0.25">
      <c r="A530" s="11"/>
      <c r="B530" s="11"/>
      <c r="C530" s="32"/>
      <c r="D530" s="3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2.75" x14ac:dyDescent="0.25">
      <c r="A531" s="11"/>
      <c r="B531" s="11"/>
      <c r="C531" s="32"/>
      <c r="D531" s="3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2.75" x14ac:dyDescent="0.25">
      <c r="A532" s="11"/>
      <c r="B532" s="11"/>
      <c r="C532" s="32"/>
      <c r="D532" s="3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2.75" x14ac:dyDescent="0.25">
      <c r="A533" s="11"/>
      <c r="B533" s="11"/>
      <c r="C533" s="32"/>
      <c r="D533" s="3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2.75" x14ac:dyDescent="0.25">
      <c r="A534" s="11"/>
      <c r="B534" s="11"/>
      <c r="C534" s="32"/>
      <c r="D534" s="3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2.75" x14ac:dyDescent="0.25">
      <c r="A535" s="11"/>
      <c r="B535" s="11"/>
      <c r="C535" s="32"/>
      <c r="D535" s="3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2.75" x14ac:dyDescent="0.25">
      <c r="A536" s="11"/>
      <c r="B536" s="11"/>
      <c r="C536" s="32"/>
      <c r="D536" s="3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2.75" x14ac:dyDescent="0.25">
      <c r="A537" s="11"/>
      <c r="B537" s="11"/>
      <c r="C537" s="32"/>
      <c r="D537" s="3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2.75" x14ac:dyDescent="0.25">
      <c r="A538" s="11"/>
      <c r="B538" s="11"/>
      <c r="C538" s="32"/>
      <c r="D538" s="3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2.75" x14ac:dyDescent="0.25">
      <c r="A539" s="11"/>
      <c r="B539" s="11"/>
      <c r="C539" s="32"/>
      <c r="D539" s="3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2.75" x14ac:dyDescent="0.25">
      <c r="A540" s="11"/>
      <c r="B540" s="11"/>
      <c r="C540" s="32"/>
      <c r="D540" s="3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2.75" x14ac:dyDescent="0.25">
      <c r="A541" s="11"/>
      <c r="B541" s="11"/>
      <c r="C541" s="32"/>
      <c r="D541" s="3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2.75" x14ac:dyDescent="0.25">
      <c r="A542" s="11"/>
      <c r="B542" s="11"/>
      <c r="C542" s="32"/>
      <c r="D542" s="3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2.75" x14ac:dyDescent="0.25">
      <c r="A543" s="11"/>
      <c r="B543" s="11"/>
      <c r="C543" s="32"/>
      <c r="D543" s="3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2.75" x14ac:dyDescent="0.25">
      <c r="A544" s="11"/>
      <c r="B544" s="11"/>
      <c r="C544" s="32"/>
      <c r="D544" s="3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2.75" x14ac:dyDescent="0.25">
      <c r="A545" s="11"/>
      <c r="B545" s="11"/>
      <c r="C545" s="32"/>
      <c r="D545" s="3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2.75" x14ac:dyDescent="0.25">
      <c r="A546" s="11"/>
      <c r="B546" s="11"/>
      <c r="C546" s="32"/>
      <c r="D546" s="3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2.75" x14ac:dyDescent="0.25">
      <c r="A547" s="11"/>
      <c r="B547" s="11"/>
      <c r="C547" s="32"/>
      <c r="D547" s="3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2.75" x14ac:dyDescent="0.25">
      <c r="A548" s="11"/>
      <c r="B548" s="11"/>
      <c r="C548" s="32"/>
      <c r="D548" s="3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2.75" x14ac:dyDescent="0.25">
      <c r="A549" s="11"/>
      <c r="B549" s="11"/>
      <c r="C549" s="32"/>
      <c r="D549" s="3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2.75" x14ac:dyDescent="0.25">
      <c r="A550" s="11"/>
      <c r="B550" s="11"/>
      <c r="C550" s="32"/>
      <c r="D550" s="3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2.75" x14ac:dyDescent="0.25">
      <c r="A551" s="11"/>
      <c r="B551" s="11"/>
      <c r="C551" s="32"/>
      <c r="D551" s="3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2.75" x14ac:dyDescent="0.25">
      <c r="A552" s="11"/>
      <c r="B552" s="11"/>
      <c r="C552" s="32"/>
      <c r="D552" s="3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2.75" x14ac:dyDescent="0.25">
      <c r="A553" s="11"/>
      <c r="B553" s="11"/>
      <c r="C553" s="32"/>
      <c r="D553" s="3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2.75" x14ac:dyDescent="0.25">
      <c r="A554" s="11"/>
      <c r="B554" s="11"/>
      <c r="C554" s="32"/>
      <c r="D554" s="3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2.75" x14ac:dyDescent="0.25">
      <c r="A555" s="11"/>
      <c r="B555" s="11"/>
      <c r="C555" s="32"/>
      <c r="D555" s="3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2.75" x14ac:dyDescent="0.25">
      <c r="A556" s="11"/>
      <c r="B556" s="11"/>
      <c r="C556" s="32"/>
      <c r="D556" s="3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2.75" x14ac:dyDescent="0.25">
      <c r="A557" s="11"/>
      <c r="B557" s="11"/>
      <c r="C557" s="32"/>
      <c r="D557" s="3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2.75" x14ac:dyDescent="0.25">
      <c r="A558" s="11"/>
      <c r="B558" s="11"/>
      <c r="C558" s="32"/>
      <c r="D558" s="3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2.75" x14ac:dyDescent="0.25">
      <c r="A559" s="11"/>
      <c r="B559" s="11"/>
      <c r="C559" s="32"/>
      <c r="D559" s="3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2.75" x14ac:dyDescent="0.25">
      <c r="A560" s="11"/>
      <c r="B560" s="11"/>
      <c r="C560" s="32"/>
      <c r="D560" s="3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2.75" x14ac:dyDescent="0.25">
      <c r="A561" s="11"/>
      <c r="B561" s="11"/>
      <c r="C561" s="32"/>
      <c r="D561" s="3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2.75" x14ac:dyDescent="0.25">
      <c r="A562" s="11"/>
      <c r="B562" s="11"/>
      <c r="C562" s="32"/>
      <c r="D562" s="3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2.75" x14ac:dyDescent="0.25">
      <c r="A563" s="11"/>
      <c r="B563" s="11"/>
      <c r="C563" s="32"/>
      <c r="D563" s="3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2.75" x14ac:dyDescent="0.25">
      <c r="A564" s="11"/>
      <c r="B564" s="11"/>
      <c r="C564" s="32"/>
      <c r="D564" s="3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2.75" x14ac:dyDescent="0.25">
      <c r="A565" s="11"/>
      <c r="B565" s="11"/>
      <c r="C565" s="32"/>
      <c r="D565" s="3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2.75" x14ac:dyDescent="0.25">
      <c r="A566" s="11"/>
      <c r="B566" s="11"/>
      <c r="C566" s="32"/>
      <c r="D566" s="3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2.75" x14ac:dyDescent="0.25">
      <c r="A567" s="11"/>
      <c r="B567" s="11"/>
      <c r="C567" s="32"/>
      <c r="D567" s="3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2.75" x14ac:dyDescent="0.25">
      <c r="A568" s="11"/>
      <c r="B568" s="11"/>
      <c r="C568" s="32"/>
      <c r="D568" s="3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2.75" x14ac:dyDescent="0.25">
      <c r="A569" s="11"/>
      <c r="B569" s="11"/>
      <c r="C569" s="32"/>
      <c r="D569" s="3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2.75" x14ac:dyDescent="0.25">
      <c r="A570" s="11"/>
      <c r="B570" s="11"/>
      <c r="C570" s="32"/>
      <c r="D570" s="3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2.75" x14ac:dyDescent="0.25">
      <c r="A571" s="11"/>
      <c r="B571" s="11"/>
      <c r="C571" s="32"/>
      <c r="D571" s="3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2.75" x14ac:dyDescent="0.25">
      <c r="A572" s="11"/>
      <c r="B572" s="11"/>
      <c r="C572" s="32"/>
      <c r="D572" s="3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2.75" x14ac:dyDescent="0.25">
      <c r="A573" s="11"/>
      <c r="B573" s="11"/>
      <c r="C573" s="32"/>
      <c r="D573" s="3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2.75" x14ac:dyDescent="0.25">
      <c r="A574" s="11"/>
      <c r="B574" s="11"/>
      <c r="C574" s="32"/>
      <c r="D574" s="3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2.75" x14ac:dyDescent="0.25">
      <c r="A575" s="11"/>
      <c r="B575" s="11"/>
      <c r="C575" s="32"/>
      <c r="D575" s="3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2.75" x14ac:dyDescent="0.25">
      <c r="A576" s="11"/>
      <c r="B576" s="11"/>
      <c r="C576" s="32"/>
      <c r="D576" s="3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2.75" x14ac:dyDescent="0.25">
      <c r="A577" s="11"/>
      <c r="B577" s="11"/>
      <c r="C577" s="32"/>
      <c r="D577" s="3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2.75" x14ac:dyDescent="0.25">
      <c r="A578" s="11"/>
      <c r="B578" s="11"/>
      <c r="C578" s="32"/>
      <c r="D578" s="3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2.75" x14ac:dyDescent="0.25">
      <c r="A579" s="11"/>
      <c r="B579" s="11"/>
      <c r="C579" s="32"/>
      <c r="D579" s="3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2.75" x14ac:dyDescent="0.25">
      <c r="A580" s="11"/>
      <c r="B580" s="11"/>
      <c r="C580" s="32"/>
      <c r="D580" s="3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2.75" x14ac:dyDescent="0.25">
      <c r="A581" s="11"/>
      <c r="B581" s="11"/>
      <c r="C581" s="32"/>
      <c r="D581" s="3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2.75" x14ac:dyDescent="0.25">
      <c r="A582" s="11"/>
      <c r="B582" s="11"/>
      <c r="C582" s="32"/>
      <c r="D582" s="3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2.75" x14ac:dyDescent="0.25">
      <c r="A583" s="11"/>
      <c r="B583" s="11"/>
      <c r="C583" s="32"/>
      <c r="D583" s="3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2.75" x14ac:dyDescent="0.25">
      <c r="A584" s="11"/>
      <c r="B584" s="11"/>
      <c r="C584" s="32"/>
      <c r="D584" s="3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2.75" x14ac:dyDescent="0.25">
      <c r="A585" s="11"/>
      <c r="B585" s="11"/>
      <c r="C585" s="32"/>
      <c r="D585" s="3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2.75" x14ac:dyDescent="0.25">
      <c r="A586" s="11"/>
      <c r="B586" s="11"/>
      <c r="C586" s="32"/>
      <c r="D586" s="3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2.75" x14ac:dyDescent="0.25">
      <c r="A587" s="11"/>
      <c r="B587" s="11"/>
      <c r="C587" s="32"/>
      <c r="D587" s="3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2.75" x14ac:dyDescent="0.25">
      <c r="A588" s="11"/>
      <c r="B588" s="11"/>
      <c r="C588" s="32"/>
      <c r="D588" s="3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2.75" x14ac:dyDescent="0.25">
      <c r="A589" s="11"/>
      <c r="B589" s="11"/>
      <c r="C589" s="32"/>
      <c r="D589" s="3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2.75" x14ac:dyDescent="0.25">
      <c r="A590" s="11"/>
      <c r="B590" s="11"/>
      <c r="C590" s="32"/>
      <c r="D590" s="3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2.75" x14ac:dyDescent="0.25">
      <c r="A591" s="11"/>
      <c r="B591" s="11"/>
      <c r="C591" s="32"/>
      <c r="D591" s="3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2.75" x14ac:dyDescent="0.25">
      <c r="A592" s="11"/>
      <c r="B592" s="11"/>
      <c r="C592" s="32"/>
      <c r="D592" s="3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2.75" x14ac:dyDescent="0.25">
      <c r="A593" s="11"/>
      <c r="B593" s="11"/>
      <c r="C593" s="32"/>
      <c r="D593" s="3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2.75" x14ac:dyDescent="0.25">
      <c r="A594" s="11"/>
      <c r="B594" s="11"/>
      <c r="C594" s="32"/>
      <c r="D594" s="3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2.75" x14ac:dyDescent="0.25">
      <c r="A595" s="11"/>
      <c r="B595" s="11"/>
      <c r="C595" s="32"/>
      <c r="D595" s="3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2.75" x14ac:dyDescent="0.25">
      <c r="A596" s="11"/>
      <c r="B596" s="11"/>
      <c r="C596" s="32"/>
      <c r="D596" s="3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2.75" x14ac:dyDescent="0.25">
      <c r="A597" s="11"/>
      <c r="B597" s="11"/>
      <c r="C597" s="32"/>
      <c r="D597" s="3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2.75" x14ac:dyDescent="0.25">
      <c r="A598" s="11"/>
      <c r="B598" s="11"/>
      <c r="C598" s="32"/>
      <c r="D598" s="3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2.75" x14ac:dyDescent="0.25">
      <c r="A599" s="11"/>
      <c r="B599" s="11"/>
      <c r="C599" s="32"/>
      <c r="D599" s="3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2.75" x14ac:dyDescent="0.25">
      <c r="A600" s="11"/>
      <c r="B600" s="11"/>
      <c r="C600" s="32"/>
      <c r="D600" s="3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2.75" x14ac:dyDescent="0.25">
      <c r="A601" s="11"/>
      <c r="B601" s="11"/>
      <c r="C601" s="32"/>
      <c r="D601" s="3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2.75" x14ac:dyDescent="0.25">
      <c r="A602" s="11"/>
      <c r="B602" s="11"/>
      <c r="C602" s="32"/>
      <c r="D602" s="3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2.75" x14ac:dyDescent="0.25">
      <c r="A603" s="11"/>
      <c r="B603" s="11"/>
      <c r="C603" s="32"/>
      <c r="D603" s="3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2.75" x14ac:dyDescent="0.25">
      <c r="A604" s="11"/>
      <c r="B604" s="11"/>
      <c r="C604" s="32"/>
      <c r="D604" s="3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2.75" x14ac:dyDescent="0.25">
      <c r="A605" s="11"/>
      <c r="B605" s="11"/>
      <c r="C605" s="32"/>
      <c r="D605" s="3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2.75" x14ac:dyDescent="0.25">
      <c r="A606" s="11"/>
      <c r="B606" s="11"/>
      <c r="C606" s="32"/>
      <c r="D606" s="3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2.75" x14ac:dyDescent="0.25">
      <c r="A607" s="11"/>
      <c r="B607" s="11"/>
      <c r="C607" s="32"/>
      <c r="D607" s="3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2.75" x14ac:dyDescent="0.25">
      <c r="A608" s="11"/>
      <c r="B608" s="11"/>
      <c r="C608" s="32"/>
      <c r="D608" s="3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2.75" x14ac:dyDescent="0.25">
      <c r="A609" s="11"/>
      <c r="B609" s="11"/>
      <c r="C609" s="32"/>
      <c r="D609" s="3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2.75" x14ac:dyDescent="0.25">
      <c r="A610" s="11"/>
      <c r="B610" s="11"/>
      <c r="C610" s="32"/>
      <c r="D610" s="3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2.75" x14ac:dyDescent="0.25">
      <c r="A611" s="11"/>
      <c r="B611" s="11"/>
      <c r="C611" s="32"/>
      <c r="D611" s="3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2.75" x14ac:dyDescent="0.25">
      <c r="A612" s="11"/>
      <c r="B612" s="11"/>
      <c r="C612" s="32"/>
      <c r="D612" s="3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2.75" x14ac:dyDescent="0.25">
      <c r="A613" s="11"/>
      <c r="B613" s="11"/>
      <c r="C613" s="32"/>
      <c r="D613" s="3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2.75" x14ac:dyDescent="0.25">
      <c r="A614" s="11"/>
      <c r="B614" s="11"/>
      <c r="C614" s="32"/>
      <c r="D614" s="3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2.75" x14ac:dyDescent="0.25">
      <c r="A615" s="11"/>
      <c r="B615" s="11"/>
      <c r="C615" s="32"/>
      <c r="D615" s="3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2.75" x14ac:dyDescent="0.25">
      <c r="A616" s="11"/>
      <c r="B616" s="11"/>
      <c r="C616" s="32"/>
      <c r="D616" s="3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2.75" x14ac:dyDescent="0.25">
      <c r="A617" s="11"/>
      <c r="B617" s="11"/>
      <c r="C617" s="32"/>
      <c r="D617" s="3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2.75" x14ac:dyDescent="0.25">
      <c r="A618" s="11"/>
      <c r="B618" s="11"/>
      <c r="C618" s="32"/>
      <c r="D618" s="3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2.75" x14ac:dyDescent="0.25">
      <c r="A619" s="11"/>
      <c r="B619" s="11"/>
      <c r="C619" s="32"/>
      <c r="D619" s="3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2.75" x14ac:dyDescent="0.25">
      <c r="A620" s="11"/>
      <c r="B620" s="11"/>
      <c r="C620" s="32"/>
      <c r="D620" s="3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2.75" x14ac:dyDescent="0.25">
      <c r="A621" s="11"/>
      <c r="B621" s="11"/>
      <c r="C621" s="32"/>
      <c r="D621" s="3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2.75" x14ac:dyDescent="0.25">
      <c r="A622" s="11"/>
      <c r="B622" s="11"/>
      <c r="C622" s="32"/>
      <c r="D622" s="3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2.75" x14ac:dyDescent="0.25">
      <c r="A623" s="11"/>
      <c r="B623" s="11"/>
      <c r="C623" s="32"/>
      <c r="D623" s="3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2.75" x14ac:dyDescent="0.25">
      <c r="A624" s="11"/>
      <c r="B624" s="11"/>
      <c r="C624" s="32"/>
      <c r="D624" s="3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2.75" x14ac:dyDescent="0.25">
      <c r="A625" s="11"/>
      <c r="B625" s="11"/>
      <c r="C625" s="32"/>
      <c r="D625" s="3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2.75" x14ac:dyDescent="0.25">
      <c r="A626" s="11"/>
      <c r="B626" s="11"/>
      <c r="C626" s="32"/>
      <c r="D626" s="3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2.75" x14ac:dyDescent="0.25">
      <c r="A627" s="11"/>
      <c r="B627" s="11"/>
      <c r="C627" s="32"/>
      <c r="D627" s="3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2.75" x14ac:dyDescent="0.25">
      <c r="A628" s="11"/>
      <c r="B628" s="11"/>
      <c r="C628" s="32"/>
      <c r="D628" s="3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2.75" x14ac:dyDescent="0.25">
      <c r="A629" s="11"/>
      <c r="B629" s="11"/>
      <c r="C629" s="32"/>
      <c r="D629" s="3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2.75" x14ac:dyDescent="0.25">
      <c r="A630" s="11"/>
      <c r="B630" s="11"/>
      <c r="C630" s="32"/>
      <c r="D630" s="3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2.75" x14ac:dyDescent="0.25">
      <c r="A631" s="11"/>
      <c r="B631" s="11"/>
      <c r="C631" s="32"/>
      <c r="D631" s="3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2.75" x14ac:dyDescent="0.25">
      <c r="A632" s="11"/>
      <c r="B632" s="11"/>
      <c r="C632" s="32"/>
      <c r="D632" s="3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2.75" x14ac:dyDescent="0.25">
      <c r="A633" s="11"/>
      <c r="B633" s="11"/>
      <c r="C633" s="32"/>
      <c r="D633" s="3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2.75" x14ac:dyDescent="0.25">
      <c r="A634" s="11"/>
      <c r="B634" s="11"/>
      <c r="C634" s="32"/>
      <c r="D634" s="3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2.75" x14ac:dyDescent="0.25">
      <c r="A635" s="11"/>
      <c r="B635" s="11"/>
      <c r="C635" s="32"/>
      <c r="D635" s="3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2.75" x14ac:dyDescent="0.25">
      <c r="A636" s="11"/>
      <c r="B636" s="11"/>
      <c r="C636" s="32"/>
      <c r="D636" s="3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2.75" x14ac:dyDescent="0.25">
      <c r="A637" s="11"/>
      <c r="B637" s="11"/>
      <c r="C637" s="32"/>
      <c r="D637" s="3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2.75" x14ac:dyDescent="0.25">
      <c r="A638" s="11"/>
      <c r="B638" s="11"/>
      <c r="C638" s="32"/>
      <c r="D638" s="3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2.75" x14ac:dyDescent="0.25">
      <c r="A639" s="11"/>
      <c r="B639" s="11"/>
      <c r="C639" s="32"/>
      <c r="D639" s="3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2.75" x14ac:dyDescent="0.25">
      <c r="A640" s="11"/>
      <c r="B640" s="11"/>
      <c r="C640" s="32"/>
      <c r="D640" s="3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2.75" x14ac:dyDescent="0.25">
      <c r="A641" s="11"/>
      <c r="B641" s="11"/>
      <c r="C641" s="32"/>
      <c r="D641" s="3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2.75" x14ac:dyDescent="0.25">
      <c r="A642" s="11"/>
      <c r="B642" s="11"/>
      <c r="C642" s="32"/>
      <c r="D642" s="3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2.75" x14ac:dyDescent="0.25">
      <c r="A643" s="11"/>
      <c r="B643" s="11"/>
      <c r="C643" s="32"/>
      <c r="D643" s="3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2.75" x14ac:dyDescent="0.25">
      <c r="A644" s="11"/>
      <c r="B644" s="11"/>
      <c r="C644" s="32"/>
      <c r="D644" s="3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2.75" x14ac:dyDescent="0.25">
      <c r="A645" s="11"/>
      <c r="B645" s="11"/>
      <c r="C645" s="32"/>
      <c r="D645" s="3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2.75" x14ac:dyDescent="0.25">
      <c r="A646" s="11"/>
      <c r="B646" s="11"/>
      <c r="C646" s="32"/>
      <c r="D646" s="3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2.75" x14ac:dyDescent="0.25">
      <c r="A647" s="11"/>
      <c r="B647" s="11"/>
      <c r="C647" s="32"/>
      <c r="D647" s="3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2.75" x14ac:dyDescent="0.25">
      <c r="A648" s="11"/>
      <c r="B648" s="11"/>
      <c r="C648" s="32"/>
      <c r="D648" s="3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2.75" x14ac:dyDescent="0.25">
      <c r="A649" s="11"/>
      <c r="B649" s="11"/>
      <c r="C649" s="32"/>
      <c r="D649" s="3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2.75" x14ac:dyDescent="0.25">
      <c r="A650" s="11"/>
      <c r="B650" s="11"/>
      <c r="C650" s="32"/>
      <c r="D650" s="3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2.75" x14ac:dyDescent="0.25">
      <c r="A651" s="11"/>
      <c r="B651" s="11"/>
      <c r="C651" s="32"/>
      <c r="D651" s="3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2.75" x14ac:dyDescent="0.25">
      <c r="A652" s="11"/>
      <c r="B652" s="11"/>
      <c r="C652" s="32"/>
      <c r="D652" s="3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2.75" x14ac:dyDescent="0.25">
      <c r="A653" s="11"/>
      <c r="B653" s="11"/>
      <c r="C653" s="32"/>
      <c r="D653" s="3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2.75" x14ac:dyDescent="0.25">
      <c r="A654" s="11"/>
      <c r="B654" s="11"/>
      <c r="C654" s="32"/>
      <c r="D654" s="3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2.75" x14ac:dyDescent="0.25">
      <c r="A655" s="11"/>
      <c r="B655" s="11"/>
      <c r="C655" s="32"/>
      <c r="D655" s="3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2.75" x14ac:dyDescent="0.25">
      <c r="A656" s="11"/>
      <c r="B656" s="11"/>
      <c r="C656" s="32"/>
      <c r="D656" s="3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2.75" x14ac:dyDescent="0.25">
      <c r="A657" s="11"/>
      <c r="B657" s="11"/>
      <c r="C657" s="32"/>
      <c r="D657" s="3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2.75" x14ac:dyDescent="0.25">
      <c r="A658" s="11"/>
      <c r="B658" s="11"/>
      <c r="C658" s="32"/>
      <c r="D658" s="3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2.75" x14ac:dyDescent="0.25">
      <c r="A659" s="11"/>
      <c r="B659" s="11"/>
      <c r="C659" s="32"/>
      <c r="D659" s="3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2.75" x14ac:dyDescent="0.25">
      <c r="A660" s="11"/>
      <c r="B660" s="11"/>
      <c r="C660" s="32"/>
      <c r="D660" s="3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2.75" x14ac:dyDescent="0.25">
      <c r="A661" s="11"/>
      <c r="B661" s="11"/>
      <c r="C661" s="32"/>
      <c r="D661" s="3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2.75" x14ac:dyDescent="0.25">
      <c r="A662" s="11"/>
      <c r="B662" s="11"/>
      <c r="C662" s="32"/>
      <c r="D662" s="3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2.75" x14ac:dyDescent="0.25">
      <c r="A663" s="11"/>
      <c r="B663" s="11"/>
      <c r="C663" s="32"/>
      <c r="D663" s="3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2.75" x14ac:dyDescent="0.25">
      <c r="A664" s="11"/>
      <c r="B664" s="11"/>
      <c r="C664" s="32"/>
      <c r="D664" s="3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2.75" x14ac:dyDescent="0.25">
      <c r="A665" s="11"/>
      <c r="B665" s="11"/>
      <c r="C665" s="32"/>
      <c r="D665" s="3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2.75" x14ac:dyDescent="0.25">
      <c r="A666" s="11"/>
      <c r="B666" s="11"/>
      <c r="C666" s="32"/>
      <c r="D666" s="3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2.75" x14ac:dyDescent="0.25">
      <c r="A667" s="11"/>
      <c r="B667" s="11"/>
      <c r="C667" s="32"/>
      <c r="D667" s="3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2.75" x14ac:dyDescent="0.25">
      <c r="A668" s="11"/>
      <c r="B668" s="11"/>
      <c r="C668" s="32"/>
      <c r="D668" s="3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2.75" x14ac:dyDescent="0.25">
      <c r="A669" s="11"/>
      <c r="B669" s="11"/>
      <c r="C669" s="32"/>
      <c r="D669" s="3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2.75" x14ac:dyDescent="0.25">
      <c r="A670" s="11"/>
      <c r="B670" s="11"/>
      <c r="C670" s="32"/>
      <c r="D670" s="3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2.75" x14ac:dyDescent="0.25">
      <c r="A671" s="11"/>
      <c r="B671" s="11"/>
      <c r="C671" s="32"/>
      <c r="D671" s="3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2.75" x14ac:dyDescent="0.25">
      <c r="A672" s="11"/>
      <c r="B672" s="11"/>
      <c r="C672" s="32"/>
      <c r="D672" s="3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2.75" x14ac:dyDescent="0.25">
      <c r="A673" s="11"/>
      <c r="B673" s="11"/>
      <c r="C673" s="32"/>
      <c r="D673" s="3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2.75" x14ac:dyDescent="0.25">
      <c r="A674" s="11"/>
      <c r="B674" s="11"/>
      <c r="C674" s="32"/>
      <c r="D674" s="3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2.75" x14ac:dyDescent="0.25">
      <c r="A675" s="11"/>
      <c r="B675" s="11"/>
      <c r="C675" s="32"/>
      <c r="D675" s="3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2.75" x14ac:dyDescent="0.25">
      <c r="A676" s="11"/>
      <c r="B676" s="11"/>
      <c r="C676" s="32"/>
      <c r="D676" s="3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2.75" x14ac:dyDescent="0.25">
      <c r="A677" s="11"/>
      <c r="B677" s="11"/>
      <c r="C677" s="32"/>
      <c r="D677" s="3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2.75" x14ac:dyDescent="0.25">
      <c r="A678" s="11"/>
      <c r="B678" s="11"/>
      <c r="C678" s="32"/>
      <c r="D678" s="3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2.75" x14ac:dyDescent="0.25">
      <c r="A679" s="11"/>
      <c r="B679" s="11"/>
      <c r="C679" s="32"/>
      <c r="D679" s="3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2.75" x14ac:dyDescent="0.25">
      <c r="A680" s="11"/>
      <c r="B680" s="11"/>
      <c r="C680" s="32"/>
      <c r="D680" s="3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2.75" x14ac:dyDescent="0.25">
      <c r="A681" s="11"/>
      <c r="B681" s="11"/>
      <c r="C681" s="32"/>
      <c r="D681" s="3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2.75" x14ac:dyDescent="0.25">
      <c r="A682" s="11"/>
      <c r="B682" s="11"/>
      <c r="C682" s="32"/>
      <c r="D682" s="3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2.75" x14ac:dyDescent="0.25">
      <c r="A683" s="11"/>
      <c r="B683" s="11"/>
      <c r="C683" s="32"/>
      <c r="D683" s="3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2.75" x14ac:dyDescent="0.25">
      <c r="A684" s="11"/>
      <c r="B684" s="11"/>
      <c r="C684" s="32"/>
      <c r="D684" s="3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2.75" x14ac:dyDescent="0.25">
      <c r="A685" s="11"/>
      <c r="B685" s="11"/>
      <c r="C685" s="32"/>
      <c r="D685" s="3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2.75" x14ac:dyDescent="0.25">
      <c r="A686" s="11"/>
      <c r="B686" s="11"/>
      <c r="C686" s="32"/>
      <c r="D686" s="3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2.75" x14ac:dyDescent="0.25">
      <c r="A687" s="11"/>
      <c r="B687" s="11"/>
      <c r="C687" s="32"/>
      <c r="D687" s="3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2.75" x14ac:dyDescent="0.25">
      <c r="A688" s="11"/>
      <c r="B688" s="11"/>
      <c r="C688" s="32"/>
      <c r="D688" s="3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2.75" x14ac:dyDescent="0.25">
      <c r="A689" s="11"/>
      <c r="B689" s="11"/>
      <c r="C689" s="32"/>
      <c r="D689" s="3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2.75" x14ac:dyDescent="0.25">
      <c r="A690" s="11"/>
      <c r="B690" s="11"/>
      <c r="C690" s="32"/>
      <c r="D690" s="3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2.75" x14ac:dyDescent="0.25">
      <c r="A691" s="11"/>
      <c r="B691" s="11"/>
      <c r="C691" s="32"/>
      <c r="D691" s="3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2.75" x14ac:dyDescent="0.25">
      <c r="A692" s="11"/>
      <c r="B692" s="11"/>
      <c r="C692" s="32"/>
      <c r="D692" s="3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2.75" x14ac:dyDescent="0.25">
      <c r="A693" s="11"/>
      <c r="B693" s="11"/>
      <c r="C693" s="32"/>
      <c r="D693" s="3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2.75" x14ac:dyDescent="0.25">
      <c r="A694" s="11"/>
      <c r="B694" s="11"/>
      <c r="C694" s="32"/>
      <c r="D694" s="3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2.75" x14ac:dyDescent="0.25">
      <c r="A695" s="11"/>
      <c r="B695" s="11"/>
      <c r="C695" s="32"/>
      <c r="D695" s="3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2.75" x14ac:dyDescent="0.25">
      <c r="A696" s="11"/>
      <c r="B696" s="11"/>
      <c r="C696" s="32"/>
      <c r="D696" s="3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2.75" x14ac:dyDescent="0.25">
      <c r="A697" s="11"/>
      <c r="B697" s="11"/>
      <c r="C697" s="32"/>
      <c r="D697" s="3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2.75" x14ac:dyDescent="0.25">
      <c r="A698" s="11"/>
      <c r="B698" s="11"/>
      <c r="C698" s="32"/>
      <c r="D698" s="3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2.75" x14ac:dyDescent="0.25">
      <c r="A699" s="11"/>
      <c r="B699" s="11"/>
      <c r="C699" s="32"/>
      <c r="D699" s="3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2.75" x14ac:dyDescent="0.25">
      <c r="A700" s="11"/>
      <c r="B700" s="11"/>
      <c r="C700" s="32"/>
      <c r="D700" s="3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2.75" x14ac:dyDescent="0.25">
      <c r="A701" s="11"/>
      <c r="B701" s="11"/>
      <c r="C701" s="32"/>
      <c r="D701" s="3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2.75" x14ac:dyDescent="0.25">
      <c r="A702" s="11"/>
      <c r="B702" s="11"/>
      <c r="C702" s="32"/>
      <c r="D702" s="3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2.75" x14ac:dyDescent="0.25">
      <c r="A703" s="11"/>
      <c r="B703" s="11"/>
      <c r="C703" s="32"/>
      <c r="D703" s="3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2.75" x14ac:dyDescent="0.25">
      <c r="A704" s="11"/>
      <c r="B704" s="11"/>
      <c r="C704" s="32"/>
      <c r="D704" s="3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2.75" x14ac:dyDescent="0.25">
      <c r="A705" s="11"/>
      <c r="B705" s="11"/>
      <c r="C705" s="32"/>
      <c r="D705" s="3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2.75" x14ac:dyDescent="0.25">
      <c r="A706" s="11"/>
      <c r="B706" s="11"/>
      <c r="C706" s="32"/>
      <c r="D706" s="3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2.75" x14ac:dyDescent="0.25">
      <c r="A707" s="11"/>
      <c r="B707" s="11"/>
      <c r="C707" s="32"/>
      <c r="D707" s="3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2.75" x14ac:dyDescent="0.25">
      <c r="A708" s="11"/>
      <c r="B708" s="11"/>
      <c r="C708" s="32"/>
      <c r="D708" s="3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2.75" x14ac:dyDescent="0.25">
      <c r="A709" s="11"/>
      <c r="B709" s="11"/>
      <c r="C709" s="32"/>
      <c r="D709" s="3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2.75" x14ac:dyDescent="0.25">
      <c r="A710" s="11"/>
      <c r="B710" s="11"/>
      <c r="C710" s="32"/>
      <c r="D710" s="3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2.75" x14ac:dyDescent="0.25">
      <c r="A711" s="11"/>
      <c r="B711" s="11"/>
      <c r="C711" s="32"/>
      <c r="D711" s="3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2.75" x14ac:dyDescent="0.25">
      <c r="A712" s="11"/>
      <c r="B712" s="11"/>
      <c r="C712" s="32"/>
      <c r="D712" s="3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2.75" x14ac:dyDescent="0.25">
      <c r="A713" s="11"/>
      <c r="B713" s="11"/>
      <c r="C713" s="32"/>
      <c r="D713" s="3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2.75" x14ac:dyDescent="0.25">
      <c r="A714" s="11"/>
      <c r="B714" s="11"/>
      <c r="C714" s="32"/>
      <c r="D714" s="3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2.75" x14ac:dyDescent="0.25">
      <c r="A715" s="11"/>
      <c r="B715" s="11"/>
      <c r="C715" s="32"/>
      <c r="D715" s="3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2.75" x14ac:dyDescent="0.25">
      <c r="A716" s="11"/>
      <c r="B716" s="11"/>
      <c r="C716" s="32"/>
      <c r="D716" s="3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2.75" x14ac:dyDescent="0.25">
      <c r="A717" s="11"/>
      <c r="B717" s="11"/>
      <c r="C717" s="32"/>
      <c r="D717" s="3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2.75" x14ac:dyDescent="0.25">
      <c r="A718" s="11"/>
      <c r="B718" s="11"/>
      <c r="C718" s="32"/>
      <c r="D718" s="3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2.75" x14ac:dyDescent="0.25">
      <c r="A719" s="11"/>
      <c r="B719" s="11"/>
      <c r="C719" s="32"/>
      <c r="D719" s="3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2.75" x14ac:dyDescent="0.25">
      <c r="A720" s="11"/>
      <c r="B720" s="11"/>
      <c r="C720" s="32"/>
      <c r="D720" s="3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2.75" x14ac:dyDescent="0.25">
      <c r="A721" s="11"/>
      <c r="B721" s="11"/>
      <c r="C721" s="32"/>
      <c r="D721" s="3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2.75" x14ac:dyDescent="0.25">
      <c r="A722" s="11"/>
      <c r="B722" s="11"/>
      <c r="C722" s="32"/>
      <c r="D722" s="3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2.75" x14ac:dyDescent="0.25">
      <c r="A723" s="11"/>
      <c r="B723" s="11"/>
      <c r="C723" s="32"/>
      <c r="D723" s="3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2.75" x14ac:dyDescent="0.25">
      <c r="A724" s="11"/>
      <c r="B724" s="11"/>
      <c r="C724" s="32"/>
      <c r="D724" s="3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2.75" x14ac:dyDescent="0.25">
      <c r="A725" s="11"/>
      <c r="B725" s="11"/>
      <c r="C725" s="32"/>
      <c r="D725" s="3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2.75" x14ac:dyDescent="0.25">
      <c r="A726" s="11"/>
      <c r="B726" s="11"/>
      <c r="C726" s="32"/>
      <c r="D726" s="3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2.75" x14ac:dyDescent="0.25">
      <c r="A727" s="11"/>
      <c r="B727" s="11"/>
      <c r="C727" s="32"/>
      <c r="D727" s="3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2.75" x14ac:dyDescent="0.25">
      <c r="A728" s="11"/>
      <c r="B728" s="11"/>
      <c r="C728" s="32"/>
      <c r="D728" s="3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2.75" x14ac:dyDescent="0.25">
      <c r="A729" s="11"/>
      <c r="B729" s="11"/>
      <c r="C729" s="32"/>
      <c r="D729" s="3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2.75" x14ac:dyDescent="0.25">
      <c r="A730" s="11"/>
      <c r="B730" s="11"/>
      <c r="C730" s="32"/>
      <c r="D730" s="3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2.75" x14ac:dyDescent="0.25">
      <c r="A731" s="11"/>
      <c r="B731" s="11"/>
      <c r="C731" s="32"/>
      <c r="D731" s="3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2.75" x14ac:dyDescent="0.25">
      <c r="A732" s="11"/>
      <c r="B732" s="11"/>
      <c r="C732" s="32"/>
      <c r="D732" s="3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2.75" x14ac:dyDescent="0.25">
      <c r="A733" s="11"/>
      <c r="B733" s="11"/>
      <c r="C733" s="32"/>
      <c r="D733" s="3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2.75" x14ac:dyDescent="0.25">
      <c r="A734" s="11"/>
      <c r="B734" s="11"/>
      <c r="C734" s="32"/>
      <c r="D734" s="3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2.75" x14ac:dyDescent="0.25">
      <c r="A735" s="11"/>
      <c r="B735" s="11"/>
      <c r="C735" s="32"/>
      <c r="D735" s="3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2.75" x14ac:dyDescent="0.25">
      <c r="A736" s="11"/>
      <c r="B736" s="11"/>
      <c r="C736" s="32"/>
      <c r="D736" s="3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2.75" x14ac:dyDescent="0.25">
      <c r="A737" s="11"/>
      <c r="B737" s="11"/>
      <c r="C737" s="32"/>
      <c r="D737" s="3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2.75" x14ac:dyDescent="0.25">
      <c r="A738" s="11"/>
      <c r="B738" s="11"/>
      <c r="C738" s="32"/>
      <c r="D738" s="3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2.75" x14ac:dyDescent="0.25">
      <c r="A739" s="11"/>
      <c r="B739" s="11"/>
      <c r="C739" s="32"/>
      <c r="D739" s="3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2.75" x14ac:dyDescent="0.25">
      <c r="A740" s="11"/>
      <c r="B740" s="11"/>
      <c r="C740" s="32"/>
      <c r="D740" s="3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2.75" x14ac:dyDescent="0.25">
      <c r="A741" s="11"/>
      <c r="B741" s="11"/>
      <c r="C741" s="32"/>
      <c r="D741" s="3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2.75" x14ac:dyDescent="0.25">
      <c r="A742" s="11"/>
      <c r="B742" s="11"/>
      <c r="C742" s="32"/>
      <c r="D742" s="3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2.75" x14ac:dyDescent="0.25">
      <c r="A743" s="11"/>
      <c r="B743" s="11"/>
      <c r="C743" s="32"/>
      <c r="D743" s="3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2.75" x14ac:dyDescent="0.25">
      <c r="A744" s="11"/>
      <c r="B744" s="11"/>
      <c r="C744" s="32"/>
      <c r="D744" s="3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2.75" x14ac:dyDescent="0.25">
      <c r="A745" s="11"/>
      <c r="B745" s="11"/>
      <c r="C745" s="32"/>
      <c r="D745" s="3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2.75" x14ac:dyDescent="0.25">
      <c r="A746" s="11"/>
      <c r="B746" s="11"/>
      <c r="C746" s="32"/>
      <c r="D746" s="3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2.75" x14ac:dyDescent="0.25">
      <c r="A747" s="11"/>
      <c r="B747" s="11"/>
      <c r="C747" s="32"/>
      <c r="D747" s="3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2.75" x14ac:dyDescent="0.25">
      <c r="A748" s="11"/>
      <c r="B748" s="11"/>
      <c r="C748" s="32"/>
      <c r="D748" s="3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2.75" x14ac:dyDescent="0.25">
      <c r="A749" s="11"/>
      <c r="B749" s="11"/>
      <c r="C749" s="32"/>
      <c r="D749" s="3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2.75" x14ac:dyDescent="0.25">
      <c r="A750" s="11"/>
      <c r="B750" s="11"/>
      <c r="C750" s="32"/>
      <c r="D750" s="3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2.75" x14ac:dyDescent="0.25">
      <c r="A751" s="11"/>
      <c r="B751" s="11"/>
      <c r="C751" s="32"/>
      <c r="D751" s="3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2.75" x14ac:dyDescent="0.25">
      <c r="A752" s="11"/>
      <c r="B752" s="11"/>
      <c r="C752" s="32"/>
      <c r="D752" s="3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2.75" x14ac:dyDescent="0.25">
      <c r="A753" s="11"/>
      <c r="B753" s="11"/>
      <c r="C753" s="32"/>
      <c r="D753" s="3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2.75" x14ac:dyDescent="0.25">
      <c r="A754" s="11"/>
      <c r="B754" s="11"/>
      <c r="C754" s="32"/>
      <c r="D754" s="3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2.75" x14ac:dyDescent="0.25">
      <c r="A755" s="11"/>
      <c r="B755" s="11"/>
      <c r="C755" s="32"/>
      <c r="D755" s="3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2.75" x14ac:dyDescent="0.25">
      <c r="A756" s="11"/>
      <c r="B756" s="11"/>
      <c r="C756" s="32"/>
      <c r="D756" s="3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2.75" x14ac:dyDescent="0.25">
      <c r="A757" s="11"/>
      <c r="B757" s="11"/>
      <c r="C757" s="32"/>
      <c r="D757" s="3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2.75" x14ac:dyDescent="0.25">
      <c r="A758" s="11"/>
      <c r="B758" s="11"/>
      <c r="C758" s="32"/>
      <c r="D758" s="3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2.75" x14ac:dyDescent="0.25">
      <c r="A759" s="11"/>
      <c r="B759" s="11"/>
      <c r="C759" s="32"/>
      <c r="D759" s="3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2.75" x14ac:dyDescent="0.25">
      <c r="A760" s="11"/>
      <c r="B760" s="11"/>
      <c r="C760" s="32"/>
      <c r="D760" s="3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2.75" x14ac:dyDescent="0.25">
      <c r="A761" s="11"/>
      <c r="B761" s="11"/>
      <c r="C761" s="32"/>
      <c r="D761" s="3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2.75" x14ac:dyDescent="0.25">
      <c r="A762" s="11"/>
      <c r="B762" s="11"/>
      <c r="C762" s="32"/>
      <c r="D762" s="3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2.75" x14ac:dyDescent="0.25">
      <c r="A763" s="11"/>
      <c r="B763" s="11"/>
      <c r="C763" s="32"/>
      <c r="D763" s="3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2.75" x14ac:dyDescent="0.25">
      <c r="A764" s="11"/>
      <c r="B764" s="11"/>
      <c r="C764" s="32"/>
      <c r="D764" s="3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2.75" x14ac:dyDescent="0.25">
      <c r="A765" s="11"/>
      <c r="B765" s="11"/>
      <c r="C765" s="32"/>
      <c r="D765" s="3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2.75" x14ac:dyDescent="0.25">
      <c r="A766" s="11"/>
      <c r="B766" s="11"/>
      <c r="C766" s="32"/>
      <c r="D766" s="3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2.75" x14ac:dyDescent="0.25">
      <c r="A767" s="11"/>
      <c r="B767" s="11"/>
      <c r="C767" s="32"/>
      <c r="D767" s="3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2.75" x14ac:dyDescent="0.25">
      <c r="A768" s="11"/>
      <c r="B768" s="11"/>
      <c r="C768" s="32"/>
      <c r="D768" s="3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2.75" x14ac:dyDescent="0.25">
      <c r="A769" s="11"/>
      <c r="B769" s="11"/>
      <c r="C769" s="32"/>
      <c r="D769" s="3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2.75" x14ac:dyDescent="0.25">
      <c r="A770" s="11"/>
      <c r="B770" s="11"/>
      <c r="C770" s="32"/>
      <c r="D770" s="3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2.75" x14ac:dyDescent="0.25">
      <c r="A771" s="11"/>
      <c r="B771" s="11"/>
      <c r="C771" s="32"/>
      <c r="D771" s="3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2.75" x14ac:dyDescent="0.25">
      <c r="A772" s="11"/>
      <c r="B772" s="11"/>
      <c r="C772" s="32"/>
      <c r="D772" s="3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2.75" x14ac:dyDescent="0.25">
      <c r="A773" s="11"/>
      <c r="B773" s="11"/>
      <c r="C773" s="32"/>
      <c r="D773" s="3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2.75" x14ac:dyDescent="0.25">
      <c r="A774" s="11"/>
      <c r="B774" s="11"/>
      <c r="C774" s="32"/>
      <c r="D774" s="3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2.75" x14ac:dyDescent="0.25">
      <c r="A775" s="11"/>
      <c r="B775" s="11"/>
      <c r="C775" s="32"/>
      <c r="D775" s="3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2.75" x14ac:dyDescent="0.25">
      <c r="A776" s="11"/>
      <c r="B776" s="11"/>
      <c r="C776" s="32"/>
      <c r="D776" s="3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2.75" x14ac:dyDescent="0.25">
      <c r="A777" s="11"/>
      <c r="B777" s="11"/>
      <c r="C777" s="32"/>
      <c r="D777" s="3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2.75" x14ac:dyDescent="0.25">
      <c r="A778" s="11"/>
      <c r="B778" s="11"/>
      <c r="C778" s="32"/>
      <c r="D778" s="3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2.75" x14ac:dyDescent="0.25">
      <c r="A779" s="11"/>
      <c r="B779" s="11"/>
      <c r="C779" s="32"/>
      <c r="D779" s="3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2.75" x14ac:dyDescent="0.25">
      <c r="A780" s="11"/>
      <c r="B780" s="11"/>
      <c r="C780" s="32"/>
      <c r="D780" s="3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2.75" x14ac:dyDescent="0.25">
      <c r="A781" s="11"/>
      <c r="B781" s="11"/>
      <c r="C781" s="32"/>
      <c r="D781" s="3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2.75" x14ac:dyDescent="0.25">
      <c r="A782" s="11"/>
      <c r="B782" s="11"/>
      <c r="C782" s="32"/>
      <c r="D782" s="3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2.75" x14ac:dyDescent="0.25">
      <c r="A783" s="11"/>
      <c r="B783" s="11"/>
      <c r="C783" s="32"/>
      <c r="D783" s="3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2.75" x14ac:dyDescent="0.25">
      <c r="A784" s="11"/>
      <c r="B784" s="11"/>
      <c r="C784" s="32"/>
      <c r="D784" s="3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2.75" x14ac:dyDescent="0.25">
      <c r="A785" s="11"/>
      <c r="B785" s="11"/>
      <c r="C785" s="32"/>
      <c r="D785" s="3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2.75" x14ac:dyDescent="0.25">
      <c r="A786" s="11"/>
      <c r="B786" s="11"/>
      <c r="C786" s="32"/>
      <c r="D786" s="3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2.75" x14ac:dyDescent="0.25">
      <c r="A787" s="11"/>
      <c r="B787" s="11"/>
      <c r="C787" s="32"/>
      <c r="D787" s="3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2.75" x14ac:dyDescent="0.25">
      <c r="A788" s="11"/>
      <c r="B788" s="11"/>
      <c r="C788" s="32"/>
      <c r="D788" s="3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2.75" x14ac:dyDescent="0.25">
      <c r="A789" s="11"/>
      <c r="B789" s="11"/>
      <c r="C789" s="32"/>
      <c r="D789" s="3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2.75" x14ac:dyDescent="0.25">
      <c r="A790" s="11"/>
      <c r="B790" s="11"/>
      <c r="C790" s="32"/>
      <c r="D790" s="3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2.75" x14ac:dyDescent="0.25">
      <c r="A791" s="11"/>
      <c r="B791" s="11"/>
      <c r="C791" s="32"/>
      <c r="D791" s="3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2.75" x14ac:dyDescent="0.25">
      <c r="A792" s="11"/>
      <c r="B792" s="11"/>
      <c r="C792" s="32"/>
      <c r="D792" s="3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2.75" x14ac:dyDescent="0.25">
      <c r="A793" s="11"/>
      <c r="B793" s="11"/>
      <c r="C793" s="32"/>
      <c r="D793" s="3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2.75" x14ac:dyDescent="0.25">
      <c r="A794" s="11"/>
      <c r="B794" s="11"/>
      <c r="C794" s="32"/>
      <c r="D794" s="3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2.75" x14ac:dyDescent="0.25">
      <c r="A795" s="11"/>
      <c r="B795" s="11"/>
      <c r="C795" s="32"/>
      <c r="D795" s="3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2.75" x14ac:dyDescent="0.25">
      <c r="A796" s="11"/>
      <c r="B796" s="11"/>
      <c r="C796" s="32"/>
      <c r="D796" s="3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2.75" x14ac:dyDescent="0.25">
      <c r="A797" s="11"/>
      <c r="B797" s="11"/>
      <c r="C797" s="32"/>
      <c r="D797" s="3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2.75" x14ac:dyDescent="0.25">
      <c r="A798" s="11"/>
      <c r="B798" s="11"/>
      <c r="C798" s="32"/>
      <c r="D798" s="3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2.75" x14ac:dyDescent="0.25">
      <c r="A799" s="11"/>
      <c r="B799" s="11"/>
      <c r="C799" s="32"/>
      <c r="D799" s="3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2.75" x14ac:dyDescent="0.25">
      <c r="A800" s="11"/>
      <c r="B800" s="11"/>
      <c r="C800" s="32"/>
      <c r="D800" s="3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2.75" x14ac:dyDescent="0.25">
      <c r="A801" s="11"/>
      <c r="B801" s="11"/>
      <c r="C801" s="32"/>
      <c r="D801" s="3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2.75" x14ac:dyDescent="0.25">
      <c r="A802" s="11"/>
      <c r="B802" s="11"/>
      <c r="C802" s="32"/>
      <c r="D802" s="3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2.75" x14ac:dyDescent="0.25">
      <c r="A803" s="11"/>
      <c r="B803" s="11"/>
      <c r="C803" s="32"/>
      <c r="D803" s="3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2.75" x14ac:dyDescent="0.25">
      <c r="A804" s="11"/>
      <c r="B804" s="11"/>
      <c r="C804" s="32"/>
      <c r="D804" s="3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2.75" x14ac:dyDescent="0.25">
      <c r="A805" s="11"/>
      <c r="B805" s="11"/>
      <c r="C805" s="32"/>
      <c r="D805" s="3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2.75" x14ac:dyDescent="0.25">
      <c r="A806" s="11"/>
      <c r="B806" s="11"/>
      <c r="C806" s="32"/>
      <c r="D806" s="3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2.75" x14ac:dyDescent="0.25">
      <c r="A807" s="11"/>
      <c r="B807" s="11"/>
      <c r="C807" s="32"/>
      <c r="D807" s="3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2.75" x14ac:dyDescent="0.25">
      <c r="A808" s="11"/>
      <c r="B808" s="11"/>
      <c r="C808" s="32"/>
      <c r="D808" s="3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2.75" x14ac:dyDescent="0.25">
      <c r="A809" s="11"/>
      <c r="B809" s="11"/>
      <c r="C809" s="32"/>
      <c r="D809" s="3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2.75" x14ac:dyDescent="0.25">
      <c r="A810" s="11"/>
      <c r="B810" s="11"/>
      <c r="C810" s="32"/>
      <c r="D810" s="3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2.75" x14ac:dyDescent="0.25">
      <c r="A811" s="11"/>
      <c r="B811" s="11"/>
      <c r="C811" s="32"/>
      <c r="D811" s="3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2.75" x14ac:dyDescent="0.25">
      <c r="A812" s="11"/>
      <c r="B812" s="11"/>
      <c r="C812" s="32"/>
      <c r="D812" s="3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2.75" x14ac:dyDescent="0.25">
      <c r="A813" s="11"/>
      <c r="B813" s="11"/>
      <c r="C813" s="32"/>
      <c r="D813" s="3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2.75" x14ac:dyDescent="0.25">
      <c r="A814" s="11"/>
      <c r="B814" s="11"/>
      <c r="C814" s="32"/>
      <c r="D814" s="3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2.75" x14ac:dyDescent="0.25">
      <c r="A815" s="11"/>
      <c r="B815" s="11"/>
      <c r="C815" s="32"/>
      <c r="D815" s="3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2.75" x14ac:dyDescent="0.25">
      <c r="A816" s="11"/>
      <c r="B816" s="11"/>
      <c r="C816" s="32"/>
      <c r="D816" s="3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2.75" x14ac:dyDescent="0.25">
      <c r="A817" s="11"/>
      <c r="B817" s="11"/>
      <c r="C817" s="32"/>
      <c r="D817" s="3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2.75" x14ac:dyDescent="0.25">
      <c r="A818" s="11"/>
      <c r="B818" s="11"/>
      <c r="C818" s="32"/>
      <c r="D818" s="3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2.75" x14ac:dyDescent="0.25">
      <c r="A819" s="11"/>
      <c r="B819" s="11"/>
      <c r="C819" s="32"/>
      <c r="D819" s="3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2.75" x14ac:dyDescent="0.25">
      <c r="A820" s="11"/>
      <c r="B820" s="11"/>
      <c r="C820" s="32"/>
      <c r="D820" s="3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2.75" x14ac:dyDescent="0.25">
      <c r="A821" s="11"/>
      <c r="B821" s="11"/>
      <c r="C821" s="32"/>
      <c r="D821" s="3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2.75" x14ac:dyDescent="0.25">
      <c r="A822" s="11"/>
      <c r="B822" s="11"/>
      <c r="C822" s="32"/>
      <c r="D822" s="3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2.75" x14ac:dyDescent="0.25">
      <c r="A823" s="11"/>
      <c r="B823" s="11"/>
      <c r="C823" s="32"/>
      <c r="D823" s="3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2.75" x14ac:dyDescent="0.25">
      <c r="A824" s="11"/>
      <c r="B824" s="11"/>
      <c r="C824" s="32"/>
      <c r="D824" s="3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2.75" x14ac:dyDescent="0.25">
      <c r="A825" s="11"/>
      <c r="B825" s="11"/>
      <c r="C825" s="32"/>
      <c r="D825" s="3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2.75" x14ac:dyDescent="0.25">
      <c r="A826" s="11"/>
      <c r="B826" s="11"/>
      <c r="C826" s="32"/>
      <c r="D826" s="3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2.75" x14ac:dyDescent="0.25">
      <c r="A827" s="11"/>
      <c r="B827" s="11"/>
      <c r="C827" s="32"/>
      <c r="D827" s="3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2.75" x14ac:dyDescent="0.25">
      <c r="A828" s="11"/>
      <c r="B828" s="11"/>
      <c r="C828" s="32"/>
      <c r="D828" s="3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2.75" x14ac:dyDescent="0.25">
      <c r="A829" s="11"/>
      <c r="B829" s="11"/>
      <c r="C829" s="32"/>
      <c r="D829" s="3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2.75" x14ac:dyDescent="0.25">
      <c r="A830" s="11"/>
      <c r="B830" s="11"/>
      <c r="C830" s="32"/>
      <c r="D830" s="3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2.75" x14ac:dyDescent="0.25">
      <c r="A831" s="11"/>
      <c r="B831" s="11"/>
      <c r="C831" s="32"/>
      <c r="D831" s="3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2.75" x14ac:dyDescent="0.25">
      <c r="A832" s="11"/>
      <c r="B832" s="11"/>
      <c r="C832" s="32"/>
      <c r="D832" s="3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2.75" x14ac:dyDescent="0.25">
      <c r="A833" s="11"/>
      <c r="B833" s="11"/>
      <c r="C833" s="32"/>
      <c r="D833" s="3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2.75" x14ac:dyDescent="0.25">
      <c r="A834" s="11"/>
      <c r="B834" s="11"/>
      <c r="C834" s="32"/>
      <c r="D834" s="3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2.75" x14ac:dyDescent="0.25">
      <c r="A835" s="11"/>
      <c r="B835" s="11"/>
      <c r="C835" s="32"/>
      <c r="D835" s="3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2.75" x14ac:dyDescent="0.25">
      <c r="A836" s="11"/>
      <c r="B836" s="11"/>
      <c r="C836" s="32"/>
      <c r="D836" s="3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2.75" x14ac:dyDescent="0.25">
      <c r="A837" s="11"/>
      <c r="B837" s="11"/>
      <c r="C837" s="32"/>
      <c r="D837" s="3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2.75" x14ac:dyDescent="0.25">
      <c r="A838" s="11"/>
      <c r="B838" s="11"/>
      <c r="C838" s="32"/>
      <c r="D838" s="3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2.75" x14ac:dyDescent="0.25">
      <c r="A839" s="11"/>
      <c r="B839" s="11"/>
      <c r="C839" s="32"/>
      <c r="D839" s="3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2.75" x14ac:dyDescent="0.25">
      <c r="A840" s="11"/>
      <c r="B840" s="11"/>
      <c r="C840" s="32"/>
      <c r="D840" s="3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2.75" x14ac:dyDescent="0.25">
      <c r="A841" s="11"/>
      <c r="B841" s="11"/>
      <c r="C841" s="32"/>
      <c r="D841" s="3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2.75" x14ac:dyDescent="0.25">
      <c r="A842" s="11"/>
      <c r="B842" s="11"/>
      <c r="C842" s="32"/>
      <c r="D842" s="3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2.75" x14ac:dyDescent="0.25">
      <c r="A843" s="11"/>
      <c r="B843" s="11"/>
      <c r="C843" s="32"/>
      <c r="D843" s="3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2.75" x14ac:dyDescent="0.25">
      <c r="A844" s="11"/>
      <c r="B844" s="11"/>
      <c r="C844" s="32"/>
      <c r="D844" s="3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2.75" x14ac:dyDescent="0.25">
      <c r="A845" s="11"/>
      <c r="B845" s="11"/>
      <c r="C845" s="32"/>
      <c r="D845" s="3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2.75" x14ac:dyDescent="0.25">
      <c r="A846" s="11"/>
      <c r="B846" s="11"/>
      <c r="C846" s="32"/>
      <c r="D846" s="3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2.75" x14ac:dyDescent="0.25">
      <c r="A847" s="11"/>
      <c r="B847" s="11"/>
      <c r="C847" s="32"/>
      <c r="D847" s="3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2.75" x14ac:dyDescent="0.25">
      <c r="A848" s="11"/>
      <c r="B848" s="11"/>
      <c r="C848" s="32"/>
      <c r="D848" s="3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2.75" x14ac:dyDescent="0.25">
      <c r="A849" s="11"/>
      <c r="B849" s="11"/>
      <c r="C849" s="32"/>
      <c r="D849" s="3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2.75" x14ac:dyDescent="0.25">
      <c r="A850" s="11"/>
      <c r="B850" s="11"/>
      <c r="C850" s="32"/>
      <c r="D850" s="3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2.75" x14ac:dyDescent="0.25">
      <c r="A851" s="11"/>
      <c r="B851" s="11"/>
      <c r="C851" s="32"/>
      <c r="D851" s="3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2.75" x14ac:dyDescent="0.25">
      <c r="A852" s="11"/>
      <c r="B852" s="11"/>
      <c r="C852" s="32"/>
      <c r="D852" s="3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2.75" x14ac:dyDescent="0.25">
      <c r="A853" s="11"/>
      <c r="B853" s="11"/>
      <c r="C853" s="32"/>
      <c r="D853" s="3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2.75" x14ac:dyDescent="0.25">
      <c r="A854" s="11"/>
      <c r="B854" s="11"/>
      <c r="C854" s="32"/>
      <c r="D854" s="3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2.75" x14ac:dyDescent="0.25">
      <c r="A855" s="11"/>
      <c r="B855" s="11"/>
      <c r="C855" s="32"/>
      <c r="D855" s="3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2.75" x14ac:dyDescent="0.25">
      <c r="A856" s="11"/>
      <c r="B856" s="11"/>
      <c r="C856" s="32"/>
      <c r="D856" s="3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2.75" x14ac:dyDescent="0.25">
      <c r="A857" s="11"/>
      <c r="B857" s="11"/>
      <c r="C857" s="32"/>
      <c r="D857" s="3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2.75" x14ac:dyDescent="0.25">
      <c r="A858" s="11"/>
      <c r="B858" s="11"/>
      <c r="C858" s="32"/>
      <c r="D858" s="3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2.75" x14ac:dyDescent="0.25">
      <c r="A859" s="11"/>
      <c r="B859" s="11"/>
      <c r="C859" s="32"/>
      <c r="D859" s="3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2.75" x14ac:dyDescent="0.25">
      <c r="A860" s="11"/>
      <c r="B860" s="11"/>
      <c r="C860" s="32"/>
      <c r="D860" s="3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2.75" x14ac:dyDescent="0.25">
      <c r="A861" s="11"/>
      <c r="B861" s="11"/>
      <c r="C861" s="32"/>
      <c r="D861" s="3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2.75" x14ac:dyDescent="0.25">
      <c r="A862" s="11"/>
      <c r="B862" s="11"/>
      <c r="C862" s="32"/>
      <c r="D862" s="3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2.75" x14ac:dyDescent="0.25">
      <c r="A863" s="11"/>
      <c r="B863" s="11"/>
      <c r="C863" s="32"/>
      <c r="D863" s="3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2.75" x14ac:dyDescent="0.25">
      <c r="A864" s="11"/>
      <c r="B864" s="11"/>
      <c r="C864" s="32"/>
      <c r="D864" s="3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2.75" x14ac:dyDescent="0.25">
      <c r="A865" s="11"/>
      <c r="B865" s="11"/>
      <c r="C865" s="32"/>
      <c r="D865" s="3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2.75" x14ac:dyDescent="0.25">
      <c r="A866" s="11"/>
      <c r="B866" s="11"/>
      <c r="C866" s="32"/>
      <c r="D866" s="3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2.75" x14ac:dyDescent="0.25">
      <c r="A867" s="11"/>
      <c r="B867" s="11"/>
      <c r="C867" s="32"/>
      <c r="D867" s="3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2.75" x14ac:dyDescent="0.25">
      <c r="A868" s="11"/>
      <c r="B868" s="11"/>
      <c r="C868" s="32"/>
      <c r="D868" s="3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2.75" x14ac:dyDescent="0.25">
      <c r="A869" s="11"/>
      <c r="B869" s="11"/>
      <c r="C869" s="32"/>
      <c r="D869" s="3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2.75" x14ac:dyDescent="0.25">
      <c r="A870" s="11"/>
      <c r="B870" s="11"/>
      <c r="C870" s="32"/>
      <c r="D870" s="3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2.75" x14ac:dyDescent="0.25">
      <c r="A871" s="11"/>
      <c r="B871" s="11"/>
      <c r="C871" s="32"/>
      <c r="D871" s="3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2.75" x14ac:dyDescent="0.25">
      <c r="A872" s="11"/>
      <c r="B872" s="11"/>
      <c r="C872" s="32"/>
      <c r="D872" s="3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2.75" x14ac:dyDescent="0.25">
      <c r="A873" s="11"/>
      <c r="B873" s="11"/>
      <c r="C873" s="32"/>
      <c r="D873" s="3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2.75" x14ac:dyDescent="0.25">
      <c r="A874" s="11"/>
      <c r="B874" s="11"/>
      <c r="C874" s="32"/>
      <c r="D874" s="3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2.75" x14ac:dyDescent="0.25">
      <c r="A875" s="11"/>
      <c r="B875" s="11"/>
      <c r="C875" s="32"/>
      <c r="D875" s="3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2.75" x14ac:dyDescent="0.25">
      <c r="A876" s="11"/>
      <c r="B876" s="11"/>
      <c r="C876" s="32"/>
      <c r="D876" s="3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2.75" x14ac:dyDescent="0.25">
      <c r="A877" s="11"/>
      <c r="B877" s="11"/>
      <c r="C877" s="32"/>
      <c r="D877" s="3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2.75" x14ac:dyDescent="0.25">
      <c r="A878" s="11"/>
      <c r="B878" s="11"/>
      <c r="C878" s="32"/>
      <c r="D878" s="3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2.75" x14ac:dyDescent="0.25">
      <c r="A879" s="11"/>
      <c r="B879" s="11"/>
      <c r="C879" s="32"/>
      <c r="D879" s="3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2.75" x14ac:dyDescent="0.25">
      <c r="A880" s="11"/>
      <c r="B880" s="11"/>
      <c r="C880" s="32"/>
      <c r="D880" s="3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2.75" x14ac:dyDescent="0.25">
      <c r="A881" s="11"/>
      <c r="B881" s="11"/>
      <c r="C881" s="32"/>
      <c r="D881" s="3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2.75" x14ac:dyDescent="0.25">
      <c r="A882" s="11"/>
      <c r="B882" s="11"/>
      <c r="C882" s="32"/>
      <c r="D882" s="3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2.75" x14ac:dyDescent="0.25">
      <c r="A883" s="11"/>
      <c r="B883" s="11"/>
      <c r="C883" s="32"/>
      <c r="D883" s="3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2.75" x14ac:dyDescent="0.25">
      <c r="A884" s="11"/>
      <c r="B884" s="11"/>
      <c r="C884" s="32"/>
      <c r="D884" s="3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2.75" x14ac:dyDescent="0.25">
      <c r="A885" s="11"/>
      <c r="B885" s="11"/>
      <c r="C885" s="32"/>
      <c r="D885" s="3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2.75" x14ac:dyDescent="0.25">
      <c r="A886" s="11"/>
      <c r="B886" s="11"/>
      <c r="C886" s="32"/>
      <c r="D886" s="3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2.75" x14ac:dyDescent="0.25">
      <c r="A887" s="11"/>
      <c r="B887" s="11"/>
      <c r="C887" s="32"/>
      <c r="D887" s="3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2.75" x14ac:dyDescent="0.25">
      <c r="A888" s="11"/>
      <c r="B888" s="11"/>
      <c r="C888" s="32"/>
      <c r="D888" s="3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2.75" x14ac:dyDescent="0.25">
      <c r="A889" s="11"/>
      <c r="B889" s="11"/>
      <c r="C889" s="32"/>
      <c r="D889" s="3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2.75" x14ac:dyDescent="0.25">
      <c r="A890" s="11"/>
      <c r="B890" s="11"/>
      <c r="C890" s="32"/>
      <c r="D890" s="3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2.75" x14ac:dyDescent="0.25">
      <c r="A891" s="11"/>
      <c r="B891" s="11"/>
      <c r="C891" s="32"/>
      <c r="D891" s="3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2.75" x14ac:dyDescent="0.25">
      <c r="A892" s="11"/>
      <c r="B892" s="11"/>
      <c r="C892" s="32"/>
      <c r="D892" s="3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2.75" x14ac:dyDescent="0.25">
      <c r="A893" s="11"/>
      <c r="B893" s="11"/>
      <c r="C893" s="32"/>
      <c r="D893" s="3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2.75" x14ac:dyDescent="0.25">
      <c r="A894" s="11"/>
      <c r="B894" s="11"/>
      <c r="C894" s="32"/>
      <c r="D894" s="3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2.75" x14ac:dyDescent="0.25">
      <c r="A895" s="11"/>
      <c r="B895" s="11"/>
      <c r="C895" s="32"/>
      <c r="D895" s="3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2.75" x14ac:dyDescent="0.25">
      <c r="A896" s="11"/>
      <c r="B896" s="11"/>
      <c r="C896" s="32"/>
      <c r="D896" s="3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2.75" x14ac:dyDescent="0.25">
      <c r="A897" s="11"/>
      <c r="B897" s="11"/>
      <c r="C897" s="32"/>
      <c r="D897" s="3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2.75" x14ac:dyDescent="0.25">
      <c r="A898" s="11"/>
      <c r="B898" s="11"/>
      <c r="C898" s="32"/>
      <c r="D898" s="3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2.75" x14ac:dyDescent="0.25">
      <c r="A899" s="11"/>
      <c r="B899" s="11"/>
      <c r="C899" s="32"/>
      <c r="D899" s="3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2.75" x14ac:dyDescent="0.25">
      <c r="A900" s="11"/>
      <c r="B900" s="11"/>
      <c r="C900" s="32"/>
      <c r="D900" s="3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2.75" x14ac:dyDescent="0.25">
      <c r="A901" s="11"/>
      <c r="B901" s="11"/>
      <c r="C901" s="32"/>
      <c r="D901" s="3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2.75" x14ac:dyDescent="0.25">
      <c r="A902" s="11"/>
      <c r="B902" s="11"/>
      <c r="C902" s="32"/>
      <c r="D902" s="3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2.75" x14ac:dyDescent="0.25">
      <c r="A903" s="11"/>
      <c r="B903" s="11"/>
      <c r="C903" s="32"/>
      <c r="D903" s="3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2.75" x14ac:dyDescent="0.25">
      <c r="A904" s="11"/>
      <c r="B904" s="11"/>
      <c r="C904" s="32"/>
      <c r="D904" s="3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2.75" x14ac:dyDescent="0.25">
      <c r="A905" s="11"/>
      <c r="B905" s="11"/>
      <c r="C905" s="32"/>
      <c r="D905" s="3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2.75" x14ac:dyDescent="0.25">
      <c r="A906" s="11"/>
      <c r="B906" s="11"/>
      <c r="C906" s="32"/>
      <c r="D906" s="3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2.75" x14ac:dyDescent="0.25">
      <c r="A907" s="11"/>
      <c r="B907" s="11"/>
      <c r="C907" s="32"/>
      <c r="D907" s="3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2.75" x14ac:dyDescent="0.25">
      <c r="A908" s="11"/>
      <c r="B908" s="11"/>
      <c r="C908" s="32"/>
      <c r="D908" s="3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2.75" x14ac:dyDescent="0.25">
      <c r="A909" s="11"/>
      <c r="B909" s="11"/>
      <c r="C909" s="32"/>
      <c r="D909" s="3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2.75" x14ac:dyDescent="0.25">
      <c r="A910" s="11"/>
      <c r="B910" s="11"/>
      <c r="C910" s="32"/>
      <c r="D910" s="3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2.75" x14ac:dyDescent="0.25">
      <c r="A911" s="11"/>
      <c r="B911" s="11"/>
      <c r="C911" s="32"/>
      <c r="D911" s="3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2.75" x14ac:dyDescent="0.25">
      <c r="A912" s="11"/>
      <c r="B912" s="11"/>
      <c r="C912" s="32"/>
      <c r="D912" s="3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2.75" x14ac:dyDescent="0.25">
      <c r="A913" s="11"/>
      <c r="B913" s="11"/>
      <c r="C913" s="32"/>
      <c r="D913" s="3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2.75" x14ac:dyDescent="0.25">
      <c r="A914" s="11"/>
      <c r="B914" s="11"/>
      <c r="C914" s="32"/>
      <c r="D914" s="3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2.75" x14ac:dyDescent="0.25">
      <c r="A915" s="11"/>
      <c r="B915" s="11"/>
      <c r="C915" s="32"/>
      <c r="D915" s="3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2.75" x14ac:dyDescent="0.25">
      <c r="A916" s="11"/>
      <c r="B916" s="11"/>
      <c r="C916" s="32"/>
      <c r="D916" s="3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2.75" x14ac:dyDescent="0.25">
      <c r="A917" s="11"/>
      <c r="B917" s="11"/>
      <c r="C917" s="32"/>
      <c r="D917" s="3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2.75" x14ac:dyDescent="0.25">
      <c r="A918" s="11"/>
      <c r="B918" s="11"/>
      <c r="C918" s="32"/>
      <c r="D918" s="3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2.75" x14ac:dyDescent="0.25">
      <c r="A919" s="11"/>
      <c r="B919" s="11"/>
      <c r="C919" s="32"/>
      <c r="D919" s="3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2.75" x14ac:dyDescent="0.25">
      <c r="A920" s="11"/>
      <c r="B920" s="11"/>
      <c r="C920" s="32"/>
      <c r="D920" s="3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2.75" x14ac:dyDescent="0.25">
      <c r="A921" s="11"/>
      <c r="B921" s="11"/>
      <c r="C921" s="32"/>
      <c r="D921" s="3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2.75" x14ac:dyDescent="0.25">
      <c r="A922" s="11"/>
      <c r="B922" s="11"/>
      <c r="C922" s="32"/>
      <c r="D922" s="3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2.75" x14ac:dyDescent="0.25">
      <c r="A923" s="11"/>
      <c r="B923" s="11"/>
      <c r="C923" s="32"/>
      <c r="D923" s="3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2.75" x14ac:dyDescent="0.25">
      <c r="A924" s="11"/>
      <c r="B924" s="11"/>
      <c r="C924" s="32"/>
      <c r="D924" s="3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2.75" x14ac:dyDescent="0.25">
      <c r="A925" s="11"/>
      <c r="B925" s="11"/>
      <c r="C925" s="32"/>
      <c r="D925" s="3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2.75" x14ac:dyDescent="0.25">
      <c r="A926" s="11"/>
      <c r="B926" s="11"/>
      <c r="C926" s="32"/>
      <c r="D926" s="3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2.75" x14ac:dyDescent="0.25">
      <c r="A927" s="11"/>
      <c r="B927" s="11"/>
      <c r="C927" s="32"/>
      <c r="D927" s="3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2.75" x14ac:dyDescent="0.25">
      <c r="A928" s="11"/>
      <c r="B928" s="11"/>
      <c r="C928" s="32"/>
      <c r="D928" s="3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2.75" x14ac:dyDescent="0.25">
      <c r="A929" s="11"/>
      <c r="B929" s="11"/>
      <c r="C929" s="32"/>
      <c r="D929" s="3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2.75" x14ac:dyDescent="0.25">
      <c r="A930" s="11"/>
      <c r="B930" s="11"/>
      <c r="C930" s="32"/>
      <c r="D930" s="3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2.75" x14ac:dyDescent="0.25">
      <c r="A931" s="11"/>
      <c r="B931" s="11"/>
      <c r="C931" s="32"/>
      <c r="D931" s="3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2.75" x14ac:dyDescent="0.25">
      <c r="A932" s="11"/>
      <c r="B932" s="11"/>
      <c r="C932" s="32"/>
      <c r="D932" s="3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2.75" x14ac:dyDescent="0.25">
      <c r="A933" s="11"/>
      <c r="B933" s="11"/>
      <c r="C933" s="32"/>
      <c r="D933" s="3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2.75" x14ac:dyDescent="0.25">
      <c r="A934" s="11"/>
      <c r="B934" s="11"/>
      <c r="C934" s="32"/>
      <c r="D934" s="3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2.75" x14ac:dyDescent="0.25">
      <c r="A935" s="11"/>
      <c r="B935" s="11"/>
      <c r="C935" s="32"/>
      <c r="D935" s="3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2.75" x14ac:dyDescent="0.25">
      <c r="A936" s="11"/>
      <c r="B936" s="11"/>
      <c r="C936" s="32"/>
      <c r="D936" s="3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2.75" x14ac:dyDescent="0.25">
      <c r="A937" s="11"/>
      <c r="B937" s="11"/>
      <c r="C937" s="32"/>
      <c r="D937" s="3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2.75" x14ac:dyDescent="0.25">
      <c r="A938" s="11"/>
      <c r="B938" s="11"/>
      <c r="C938" s="32"/>
      <c r="D938" s="3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2.75" x14ac:dyDescent="0.25">
      <c r="A939" s="11"/>
      <c r="B939" s="11"/>
      <c r="C939" s="32"/>
      <c r="D939" s="3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2.75" x14ac:dyDescent="0.25">
      <c r="A940" s="11"/>
      <c r="B940" s="11"/>
      <c r="C940" s="32"/>
      <c r="D940" s="32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2.75" x14ac:dyDescent="0.25">
      <c r="A941" s="11"/>
      <c r="B941" s="11"/>
      <c r="C941" s="32"/>
      <c r="D941" s="32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2.75" x14ac:dyDescent="0.25">
      <c r="A942" s="11"/>
      <c r="B942" s="11"/>
      <c r="C942" s="32"/>
      <c r="D942" s="32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2.75" x14ac:dyDescent="0.25">
      <c r="A943" s="11"/>
      <c r="B943" s="11"/>
      <c r="C943" s="32"/>
      <c r="D943" s="32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2.75" x14ac:dyDescent="0.25">
      <c r="A944" s="11"/>
      <c r="B944" s="11"/>
      <c r="C944" s="32"/>
      <c r="D944" s="32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2.75" x14ac:dyDescent="0.25">
      <c r="A945" s="11"/>
      <c r="B945" s="11"/>
      <c r="C945" s="32"/>
      <c r="D945" s="32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2.75" x14ac:dyDescent="0.25">
      <c r="A946" s="11"/>
      <c r="B946" s="11"/>
      <c r="C946" s="32"/>
      <c r="D946" s="32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</sheetData>
  <mergeCells count="19">
    <mergeCell ref="B14:B16"/>
    <mergeCell ref="C14:C16"/>
    <mergeCell ref="D14:D16"/>
    <mergeCell ref="E14:E16"/>
    <mergeCell ref="E11:E13"/>
    <mergeCell ref="C11:C13"/>
    <mergeCell ref="D11:D13"/>
    <mergeCell ref="B2:B4"/>
    <mergeCell ref="B5:B6"/>
    <mergeCell ref="E2:E6"/>
    <mergeCell ref="C2:C4"/>
    <mergeCell ref="D2:D4"/>
    <mergeCell ref="C5:C6"/>
    <mergeCell ref="D5:D6"/>
    <mergeCell ref="E7:E10"/>
    <mergeCell ref="B7:B10"/>
    <mergeCell ref="B11:B13"/>
    <mergeCell ref="C7:C10"/>
    <mergeCell ref="D7:D10"/>
  </mergeCells>
  <phoneticPr fontId="22" type="noConversion"/>
  <hyperlinks>
    <hyperlink ref="A2" location="'Product Backlog HUs'!D11" display="'Product Backlog HUs'!D11" xr:uid="{2F409257-077B-4F3E-AFF6-3A7FA2830B39}"/>
    <hyperlink ref="A3" location="'Product Backlog HUs'!D2" display="'Product Backlog HUs'!D2" xr:uid="{7E90F8D1-0020-404C-8A03-B448C4AE3F50}"/>
    <hyperlink ref="A4" location="'Product Backlog HUs'!D3" display="'Product Backlog HUs'!D3" xr:uid="{1F616021-1146-459B-9F94-1B9B55BF058E}"/>
    <hyperlink ref="A5" location="'Product Backlog HUs'!D5" display="'Product Backlog HUs'!D5" xr:uid="{8D616BFD-4E91-4079-B206-66F9353C5384}"/>
    <hyperlink ref="A6" location="'Product Backlog HUs'!D8" display="'Product Backlog HUs'!D8" xr:uid="{43E8B03F-7A13-46CF-9A8C-B65E2AA69E93}"/>
    <hyperlink ref="A7" location="'Product Backlog HUs'!D13" display="'Product Backlog HUs'!D13" xr:uid="{BEEA51C7-6199-42D4-A58A-3E62C7FAC5D1}"/>
    <hyperlink ref="A8" location="'Product Backlog HUs'!D4" display="'Product Backlog HUs'!D4" xr:uid="{19D29399-F8E0-4FC6-9698-EE871CA8E3C1}"/>
    <hyperlink ref="A9" location="'Product Backlog HUs'!D6" display="'Product Backlog HUs'!D6" xr:uid="{B4E1EC0C-99BD-458B-88A0-A4EDD35018A3}"/>
    <hyperlink ref="A10" location="'Product Backlog HUs'!D9" display="'Product Backlog HUs'!D9" xr:uid="{21134D88-B99B-420F-88BB-25F55CB19025}"/>
    <hyperlink ref="A11" location="'Product Backlog HUs'!D12" display="'Product Backlog HUs'!D12" xr:uid="{8CFAECED-A82E-4975-B08C-EA7569FBBFF9}"/>
    <hyperlink ref="A12" location="'Product Backlog HUs'!D7" display="'Product Backlog HUs'!D7" xr:uid="{834685B2-B2FA-48F6-990C-B99B85E3CDEF}"/>
    <hyperlink ref="A13" location="'Product Backlog HUs'!D10" display="'Product Backlog HUs'!D10" xr:uid="{DD98361B-8723-490E-9EE5-4475B384D185}"/>
    <hyperlink ref="A14" location="'Product Backlog HUs'!D14" display="'Product Backlog HUs'!D14" xr:uid="{A638A1F9-D32D-4B2D-B497-F1DEC9C0BB07}"/>
    <hyperlink ref="A15" location="'Product Backlog HUs'!D15" display="'Product Backlog HUs'!D15" xr:uid="{A39C1491-E106-4A1D-A2BD-3075D1F2B88E}"/>
    <hyperlink ref="A16" location="'Product Backlog HUs'!D16" display="'Product Backlog HUs'!D16" xr:uid="{3B4AAE4F-AFAF-4EE6-A5A6-D1D4A5028DCC}"/>
  </hyperlink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5C4-9A20-45E0-A226-59BC4B51EF7B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HUs'!D2</f>
        <v>HU1-Iniciar Juego - Plataformas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HUs'!$E$2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HUs'!$F$2</f>
        <v>acceso a la actividad en la tarea "El Suelo es Lava" de plataformas,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HUs'!$G$2</f>
        <v>para comenzar a jugar y entrenar el reconocimiento de patrones.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HUs'!$H$2</f>
        <v>Como Estudiante, necesito acceso a la actividad en la tarea "El Suelo es Lava" de plataformas, con instrucciones claras, estímulos visuales y auditivos, para para comenzar a jugar y entrenar el reconocimiento de patrones.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HUs'!$I$2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HUs'!$J$2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HUs'!$K$2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HUs'!$L$2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2.75" customHeight="1" x14ac:dyDescent="0.25">
      <c r="A28" s="4" t="s">
        <v>47</v>
      </c>
      <c r="B28" s="79" t="s">
        <v>78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9.5" customHeight="1" x14ac:dyDescent="0.25">
      <c r="A29" s="4" t="s">
        <v>48</v>
      </c>
      <c r="B29" s="79" t="s">
        <v>140</v>
      </c>
      <c r="C29" s="79"/>
      <c r="D29" s="79"/>
      <c r="E29" s="79"/>
      <c r="F29" s="79"/>
      <c r="G29" s="2"/>
      <c r="H29" s="3"/>
      <c r="I29" s="77"/>
      <c r="J29" s="77"/>
      <c r="K29" s="77"/>
      <c r="L29" s="78"/>
    </row>
    <row r="30" spans="1:12" ht="70.5" customHeight="1" x14ac:dyDescent="0.25">
      <c r="A30" s="4" t="s">
        <v>49</v>
      </c>
      <c r="B30" s="79" t="s">
        <v>139</v>
      </c>
      <c r="C30" s="79"/>
      <c r="D30" s="79"/>
      <c r="E30" s="79"/>
      <c r="F30" s="79"/>
      <c r="G30" s="2"/>
      <c r="H30" s="3"/>
      <c r="I30" s="77"/>
      <c r="J30" s="77"/>
      <c r="K30" s="77"/>
      <c r="L30" s="78"/>
    </row>
    <row r="31" spans="1:12" ht="82.5" customHeight="1" x14ac:dyDescent="0.25">
      <c r="A31" s="4" t="s">
        <v>50</v>
      </c>
      <c r="B31" s="79" t="s">
        <v>75</v>
      </c>
      <c r="C31" s="79"/>
      <c r="D31" s="79"/>
      <c r="E31" s="79"/>
      <c r="F31" s="79"/>
      <c r="G31" s="2"/>
      <c r="H31" s="3"/>
      <c r="I31" s="77"/>
      <c r="J31" s="77"/>
      <c r="K31" s="77"/>
      <c r="L31" s="78"/>
    </row>
    <row r="32" spans="1:12" ht="62.25" customHeight="1" x14ac:dyDescent="0.25">
      <c r="A32" s="4" t="s">
        <v>51</v>
      </c>
      <c r="B32" s="79" t="s">
        <v>76</v>
      </c>
      <c r="C32" s="79"/>
      <c r="D32" s="79"/>
      <c r="E32" s="79"/>
      <c r="F32" s="79"/>
      <c r="G32" s="2"/>
      <c r="H32" s="3"/>
      <c r="I32" s="77"/>
      <c r="J32" s="77"/>
      <c r="K32" s="77"/>
      <c r="L32" s="78"/>
    </row>
    <row r="33" spans="1:12" ht="72" customHeight="1" thickBot="1" x14ac:dyDescent="0.3">
      <c r="A33" s="6" t="s">
        <v>52</v>
      </c>
      <c r="B33" s="88" t="s">
        <v>81</v>
      </c>
      <c r="C33" s="89"/>
      <c r="D33" s="89"/>
      <c r="E33" s="89"/>
      <c r="F33" s="89"/>
      <c r="G33" s="7"/>
      <c r="H33" s="8"/>
      <c r="I33" s="86"/>
      <c r="J33" s="86"/>
      <c r="K33" s="86"/>
      <c r="L33" s="87"/>
    </row>
  </sheetData>
  <mergeCells count="51">
    <mergeCell ref="A1:L1"/>
    <mergeCell ref="A14:L14"/>
    <mergeCell ref="A15:D15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2:L2"/>
    <mergeCell ref="A3:L3"/>
    <mergeCell ref="A22:L22"/>
    <mergeCell ref="A26:A27"/>
    <mergeCell ref="A19:D19"/>
    <mergeCell ref="A20:L20"/>
    <mergeCell ref="A21:L21"/>
    <mergeCell ref="A23:L23"/>
    <mergeCell ref="A24:D24"/>
    <mergeCell ref="I26:L27"/>
    <mergeCell ref="A18:D18"/>
    <mergeCell ref="A4:L4"/>
    <mergeCell ref="B5:L5"/>
    <mergeCell ref="B6:L6"/>
    <mergeCell ref="B7:L7"/>
    <mergeCell ref="I31:L31"/>
    <mergeCell ref="I32:L32"/>
    <mergeCell ref="I33:L33"/>
    <mergeCell ref="B30:F30"/>
    <mergeCell ref="B31:F31"/>
    <mergeCell ref="B32:F32"/>
    <mergeCell ref="B33:F33"/>
    <mergeCell ref="I28:L28"/>
    <mergeCell ref="I29:L29"/>
    <mergeCell ref="I30:L30"/>
    <mergeCell ref="B29:F29"/>
    <mergeCell ref="E15:L15"/>
    <mergeCell ref="E16:L16"/>
    <mergeCell ref="E17:L17"/>
    <mergeCell ref="E18:L18"/>
    <mergeCell ref="E19:L19"/>
    <mergeCell ref="E24:L24"/>
    <mergeCell ref="A25:L25"/>
    <mergeCell ref="B26:F27"/>
    <mergeCell ref="G26:H26"/>
    <mergeCell ref="B28:F28"/>
    <mergeCell ref="A16:D16"/>
    <mergeCell ref="A17:D17"/>
  </mergeCells>
  <hyperlinks>
    <hyperlink ref="A3:L3" location="'Product Backlog HUs'!A2" display="'Product Backlog HUs'!A2" xr:uid="{030C38BF-1886-445E-9309-D73829B1159D}"/>
    <hyperlink ref="A1" location="'Objetos de Dominio'!A1" display="Volver al inicio" xr:uid="{F92E8141-0BAA-4CFF-A2AA-790349ADA214}"/>
    <hyperlink ref="A1:L1" location="'Product Backlog HUs'!A1" display="&lt;-Volver al listado" xr:uid="{1BDBFE36-75F7-438B-9402-519FDB46B253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FAF1-504E-4FC9-9224-DEEF567E2C7F}">
  <dimension ref="A1:Q33"/>
  <sheetViews>
    <sheetView workbookViewId="0">
      <pane ySplit="1" topLeftCell="A2" activePane="bottomLeft" state="frozen"/>
      <selection pane="bottomLeft" activeCell="B30" sqref="B30:F30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HUs'!D3</f>
        <v>HU2-Iniciar Juego - Mezclar Químicos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HUs'!$E$3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HUs'!$F$3</f>
        <v>acceso a la actividad en la tarea "Los Secretos del Chef" de la mezcla de químicos,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HUs'!$G$3</f>
        <v>para comenzar a jugar y entrenar la replicación de patrones.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HUs'!$H$3</f>
        <v>Como Estudiante, necesito acceso a la actividad en la tarea "Los Secretos del Chef" de la mezcla de químicos, con instrucciones claras, estímulos visuales y auditivos, para comenzar a jugar y entrenar la replicación de patrones.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HUs'!$I$3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HUs'!$J$2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HUs'!$K$3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HUs'!$L$3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9.5" customHeight="1" x14ac:dyDescent="0.25">
      <c r="A28" s="4" t="s">
        <v>47</v>
      </c>
      <c r="B28" s="79" t="s">
        <v>79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9.5" customHeight="1" x14ac:dyDescent="0.25">
      <c r="A29" s="4" t="s">
        <v>48</v>
      </c>
      <c r="B29" s="79" t="s">
        <v>140</v>
      </c>
      <c r="C29" s="79"/>
      <c r="D29" s="79"/>
      <c r="E29" s="79"/>
      <c r="F29" s="79"/>
      <c r="G29" s="2"/>
      <c r="H29" s="3"/>
      <c r="I29" s="77"/>
      <c r="J29" s="77"/>
      <c r="K29" s="77"/>
      <c r="L29" s="78"/>
    </row>
    <row r="30" spans="1:12" ht="87" customHeight="1" x14ac:dyDescent="0.25">
      <c r="A30" s="4" t="s">
        <v>49</v>
      </c>
      <c r="B30" s="79" t="s">
        <v>141</v>
      </c>
      <c r="C30" s="79"/>
      <c r="D30" s="79"/>
      <c r="E30" s="79"/>
      <c r="F30" s="79"/>
      <c r="G30" s="2"/>
      <c r="H30" s="3"/>
      <c r="I30" s="77"/>
      <c r="J30" s="77"/>
      <c r="K30" s="77"/>
      <c r="L30" s="78"/>
    </row>
    <row r="31" spans="1:12" ht="80.25" customHeight="1" x14ac:dyDescent="0.25">
      <c r="A31" s="4" t="s">
        <v>50</v>
      </c>
      <c r="B31" s="79" t="s">
        <v>75</v>
      </c>
      <c r="C31" s="79"/>
      <c r="D31" s="79"/>
      <c r="E31" s="79"/>
      <c r="F31" s="79"/>
      <c r="G31" s="2"/>
      <c r="H31" s="3"/>
      <c r="I31" s="77"/>
      <c r="J31" s="77"/>
      <c r="K31" s="77"/>
      <c r="L31" s="78"/>
    </row>
    <row r="32" spans="1:12" ht="79.5" customHeight="1" x14ac:dyDescent="0.25">
      <c r="A32" s="4" t="s">
        <v>51</v>
      </c>
      <c r="B32" s="79" t="s">
        <v>76</v>
      </c>
      <c r="C32" s="79"/>
      <c r="D32" s="79"/>
      <c r="E32" s="79"/>
      <c r="F32" s="79"/>
      <c r="G32" s="2"/>
      <c r="H32" s="3"/>
      <c r="I32" s="77"/>
      <c r="J32" s="77"/>
      <c r="K32" s="77"/>
      <c r="L32" s="78"/>
    </row>
    <row r="33" spans="1:12" ht="73.5" customHeight="1" thickBot="1" x14ac:dyDescent="0.3">
      <c r="A33" s="6" t="s">
        <v>52</v>
      </c>
      <c r="B33" s="88" t="s">
        <v>81</v>
      </c>
      <c r="C33" s="89"/>
      <c r="D33" s="89"/>
      <c r="E33" s="89"/>
      <c r="F33" s="89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3" display="'Product Backlog HUs'!A3" xr:uid="{D24BF96E-7731-4F70-A724-FFF80A576D53}"/>
    <hyperlink ref="A1" location="'Objetos de Dominio'!A1" display="Volver al inicio" xr:uid="{9CD95BDA-51F7-4D9A-90CB-E03ECAA3A434}"/>
    <hyperlink ref="A1:L1" location="'Product Backlog HUs'!A1" display="&lt;-Volver al listado" xr:uid="{07990714-7859-423B-AFED-A315E6D2AAD3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B500-F2BB-40D0-923F-4DF01426E7C4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HUs'!D4</f>
        <v>HU3-Iniciar Juego - Organizar Químicos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HUs'!$E$4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HUs'!$F$4</f>
        <v>acceso a la actividad en la tarea "Los Secretos del Chef" de la organización de químicos en sus propios tubos de ensayo,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HUs'!$G$4</f>
        <v>para comenzar a jugar y entrenar la resolución de problemas.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HUs'!$H$4</f>
        <v>Como Estudiante, necesito acceso a la actividad en la tarea "Los Secretos del Chef" de la organización de químicos en sus propios tubos de ensayo, con instrucciones claras, estímulos visuales y auditivos, para comenzar a jugar y entrenar la resolución de problemas.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HUs'!$I$4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v>4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HUs'!$K$4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HUs'!$L$4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9.5" customHeight="1" x14ac:dyDescent="0.25">
      <c r="A28" s="4" t="s">
        <v>47</v>
      </c>
      <c r="B28" s="79" t="s">
        <v>79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9.5" customHeight="1" x14ac:dyDescent="0.25">
      <c r="A29" s="4" t="s">
        <v>48</v>
      </c>
      <c r="B29" s="79" t="s">
        <v>140</v>
      </c>
      <c r="C29" s="79"/>
      <c r="D29" s="79"/>
      <c r="E29" s="79"/>
      <c r="F29" s="79"/>
      <c r="G29" s="2"/>
      <c r="H29" s="3"/>
      <c r="I29" s="77"/>
      <c r="J29" s="77"/>
      <c r="K29" s="77"/>
      <c r="L29" s="78"/>
    </row>
    <row r="30" spans="1:12" ht="87" customHeight="1" x14ac:dyDescent="0.25">
      <c r="A30" s="4" t="s">
        <v>49</v>
      </c>
      <c r="B30" s="79" t="s">
        <v>141</v>
      </c>
      <c r="C30" s="79"/>
      <c r="D30" s="79"/>
      <c r="E30" s="79"/>
      <c r="F30" s="79"/>
      <c r="G30" s="2"/>
      <c r="H30" s="3"/>
      <c r="I30" s="77"/>
      <c r="J30" s="77"/>
      <c r="K30" s="77"/>
      <c r="L30" s="78"/>
    </row>
    <row r="31" spans="1:12" ht="80.25" customHeight="1" x14ac:dyDescent="0.25">
      <c r="A31" s="4" t="s">
        <v>50</v>
      </c>
      <c r="B31" s="79" t="s">
        <v>75</v>
      </c>
      <c r="C31" s="79"/>
      <c r="D31" s="79"/>
      <c r="E31" s="79"/>
      <c r="F31" s="79"/>
      <c r="G31" s="2"/>
      <c r="H31" s="3"/>
      <c r="I31" s="77"/>
      <c r="J31" s="77"/>
      <c r="K31" s="77"/>
      <c r="L31" s="78"/>
    </row>
    <row r="32" spans="1:12" ht="79.5" customHeight="1" x14ac:dyDescent="0.25">
      <c r="A32" s="4" t="s">
        <v>51</v>
      </c>
      <c r="B32" s="79" t="s">
        <v>76</v>
      </c>
      <c r="C32" s="79"/>
      <c r="D32" s="79"/>
      <c r="E32" s="79"/>
      <c r="F32" s="79"/>
      <c r="G32" s="2"/>
      <c r="H32" s="3"/>
      <c r="I32" s="77"/>
      <c r="J32" s="77"/>
      <c r="K32" s="77"/>
      <c r="L32" s="78"/>
    </row>
    <row r="33" spans="1:12" ht="73.5" customHeight="1" thickBot="1" x14ac:dyDescent="0.3">
      <c r="A33" s="6" t="s">
        <v>52</v>
      </c>
      <c r="B33" s="88" t="s">
        <v>81</v>
      </c>
      <c r="C33" s="89"/>
      <c r="D33" s="89"/>
      <c r="E33" s="89"/>
      <c r="F33" s="89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4" display="'Product Backlog HUs'!A4" xr:uid="{A7D43EC2-52BC-49BC-A53B-63D66C96B48B}"/>
    <hyperlink ref="A1" location="'Objetos de Dominio'!A1" display="Volver al inicio" xr:uid="{C47E56AA-BD18-4404-8EA2-00DEC4B5BAF8}"/>
    <hyperlink ref="A1:L1" location="'Product Backlog HUs'!A1" display="&lt;-Volver al listado" xr:uid="{25BED85F-4A2C-40D4-967C-9BF79C7096FA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AE19-DB18-4C1C-BC98-D750CB80DC0F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HUs'!D5</f>
        <v>HU4-Iniciar Juego - Cuestionario Opción Múltiple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HUs'!$E$5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HUs'!$F$5</f>
        <v>acceso a las preguntas en la tarea "Clonación" de opción múltiple,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HUs'!$G$5</f>
        <v>para comenzar a jugar y entrenar el razonamiento lógico.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HUs'!$H$5</f>
        <v>Como Estudiante, necesito acceso a las preguntas en la tarea "Clonación" de opción múltiple, con instrucciones claras, estímulos visuales y auditivos, para comenzar a jugar y entrenar el razonamiento lógico.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HUs'!$I$5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HUs'!$J$5</f>
        <v>2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HUs'!$K$5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HUs'!$L$5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6.5" customHeight="1" x14ac:dyDescent="0.25">
      <c r="A28" s="4" t="s">
        <v>47</v>
      </c>
      <c r="B28" s="99" t="s">
        <v>83</v>
      </c>
      <c r="C28" s="100"/>
      <c r="D28" s="100"/>
      <c r="E28" s="100"/>
      <c r="F28" s="108"/>
      <c r="G28" s="2"/>
      <c r="H28" s="3"/>
      <c r="I28" s="77"/>
      <c r="J28" s="77"/>
      <c r="K28" s="77"/>
      <c r="L28" s="78"/>
    </row>
    <row r="29" spans="1:12" ht="75" customHeight="1" x14ac:dyDescent="0.25">
      <c r="A29" s="4" t="s">
        <v>48</v>
      </c>
      <c r="B29" s="99" t="s">
        <v>140</v>
      </c>
      <c r="C29" s="100"/>
      <c r="D29" s="100"/>
      <c r="E29" s="100"/>
      <c r="F29" s="108"/>
      <c r="G29" s="2"/>
      <c r="H29" s="3"/>
      <c r="I29" s="77"/>
      <c r="J29" s="77"/>
      <c r="K29" s="77"/>
      <c r="L29" s="78"/>
    </row>
    <row r="30" spans="1:12" ht="78.75" customHeight="1" x14ac:dyDescent="0.25">
      <c r="A30" s="4" t="s">
        <v>49</v>
      </c>
      <c r="B30" s="99" t="s">
        <v>142</v>
      </c>
      <c r="C30" s="100"/>
      <c r="D30" s="100"/>
      <c r="E30" s="100"/>
      <c r="F30" s="108"/>
      <c r="G30" s="2"/>
      <c r="H30" s="3"/>
      <c r="I30" s="77"/>
      <c r="J30" s="77"/>
      <c r="K30" s="77"/>
      <c r="L30" s="78"/>
    </row>
    <row r="31" spans="1:12" ht="74.25" customHeight="1" x14ac:dyDescent="0.25">
      <c r="A31" s="4" t="s">
        <v>50</v>
      </c>
      <c r="B31" s="99" t="s">
        <v>75</v>
      </c>
      <c r="C31" s="100"/>
      <c r="D31" s="100"/>
      <c r="E31" s="100"/>
      <c r="F31" s="108"/>
      <c r="G31" s="2"/>
      <c r="H31" s="3"/>
      <c r="I31" s="77"/>
      <c r="J31" s="77"/>
      <c r="K31" s="77"/>
      <c r="L31" s="78"/>
    </row>
    <row r="32" spans="1:12" ht="63.75" customHeight="1" x14ac:dyDescent="0.25">
      <c r="A32" s="4" t="s">
        <v>51</v>
      </c>
      <c r="B32" s="99" t="s">
        <v>76</v>
      </c>
      <c r="C32" s="100"/>
      <c r="D32" s="100"/>
      <c r="E32" s="100"/>
      <c r="F32" s="108"/>
      <c r="G32" s="2"/>
      <c r="H32" s="3"/>
      <c r="I32" s="77"/>
      <c r="J32" s="77"/>
      <c r="K32" s="77"/>
      <c r="L32" s="78"/>
    </row>
    <row r="33" spans="1:12" ht="54.75" customHeight="1" thickBot="1" x14ac:dyDescent="0.3">
      <c r="A33" s="6" t="s">
        <v>52</v>
      </c>
      <c r="B33" s="109" t="s">
        <v>77</v>
      </c>
      <c r="C33" s="110"/>
      <c r="D33" s="110"/>
      <c r="E33" s="110"/>
      <c r="F33" s="111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5" display="'Product Backlog HUs'!A5" xr:uid="{A2E970F0-60CC-4ED7-967A-C4681B8287C3}"/>
    <hyperlink ref="A1" location="'Objetos de Dominio'!A1" display="Volver al inicio" xr:uid="{3D546386-1EEA-4D35-BFEB-084806F69730}"/>
    <hyperlink ref="A1:L1" location="'Product Backlog HUs'!A1" display="&lt;-Volver al listado" xr:uid="{8425EF96-9255-42D3-9406-8C547933019C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3CCA-A5AC-4D8B-AB27-4261607F7C23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HUs'!D6</f>
        <v>HU5-Iniciar Juego - Cuestionario Digitar Respuesta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HUs'!$E$6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HUs'!$F$6</f>
        <v>acceso a las preguntas en la tarea "Clonación" de las que se requiere digitar una respuesta,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HUs'!$G$6</f>
        <v>poder ingresar a cualquiera de las Tareas existentes y comenzar el entrenamiento.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HUs'!$H$6</f>
        <v>Como Estudiante, necesito acceso a las preguntas en la tarea "Clonación" de las que se requiere digitar una respuesta, con instrucciones claras, estímulos visuales y auditivos, para poder ingresar a cualquiera de las Tareas existentes y comenzar el entrenamiento.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HUs'!$I$6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HUs'!$J$6</f>
        <v>2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HUs'!$K$6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HUs'!$L$6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6.5" customHeight="1" x14ac:dyDescent="0.25">
      <c r="A28" s="4" t="s">
        <v>47</v>
      </c>
      <c r="B28" s="99" t="s">
        <v>83</v>
      </c>
      <c r="C28" s="100"/>
      <c r="D28" s="100"/>
      <c r="E28" s="100"/>
      <c r="F28" s="108"/>
      <c r="G28" s="2"/>
      <c r="H28" s="3"/>
      <c r="I28" s="77"/>
      <c r="J28" s="77"/>
      <c r="K28" s="77"/>
      <c r="L28" s="78"/>
    </row>
    <row r="29" spans="1:12" ht="75" customHeight="1" x14ac:dyDescent="0.25">
      <c r="A29" s="4" t="s">
        <v>48</v>
      </c>
      <c r="B29" s="99" t="s">
        <v>140</v>
      </c>
      <c r="C29" s="100"/>
      <c r="D29" s="100"/>
      <c r="E29" s="100"/>
      <c r="F29" s="108"/>
      <c r="G29" s="2"/>
      <c r="H29" s="3"/>
      <c r="I29" s="77"/>
      <c r="J29" s="77"/>
      <c r="K29" s="77"/>
      <c r="L29" s="78"/>
    </row>
    <row r="30" spans="1:12" ht="78.75" customHeight="1" x14ac:dyDescent="0.25">
      <c r="A30" s="4" t="s">
        <v>49</v>
      </c>
      <c r="B30" s="99" t="s">
        <v>143</v>
      </c>
      <c r="C30" s="100"/>
      <c r="D30" s="100"/>
      <c r="E30" s="100"/>
      <c r="F30" s="108"/>
      <c r="G30" s="2"/>
      <c r="H30" s="3"/>
      <c r="I30" s="77"/>
      <c r="J30" s="77"/>
      <c r="K30" s="77"/>
      <c r="L30" s="78"/>
    </row>
    <row r="31" spans="1:12" ht="74.25" customHeight="1" x14ac:dyDescent="0.25">
      <c r="A31" s="4" t="s">
        <v>50</v>
      </c>
      <c r="B31" s="99" t="s">
        <v>75</v>
      </c>
      <c r="C31" s="100"/>
      <c r="D31" s="100"/>
      <c r="E31" s="100"/>
      <c r="F31" s="108"/>
      <c r="G31" s="2"/>
      <c r="H31" s="3"/>
      <c r="I31" s="77"/>
      <c r="J31" s="77"/>
      <c r="K31" s="77"/>
      <c r="L31" s="78"/>
    </row>
    <row r="32" spans="1:12" ht="63.75" customHeight="1" x14ac:dyDescent="0.25">
      <c r="A32" s="4" t="s">
        <v>51</v>
      </c>
      <c r="B32" s="99" t="s">
        <v>76</v>
      </c>
      <c r="C32" s="100"/>
      <c r="D32" s="100"/>
      <c r="E32" s="100"/>
      <c r="F32" s="108"/>
      <c r="G32" s="2"/>
      <c r="H32" s="3"/>
      <c r="I32" s="77"/>
      <c r="J32" s="77"/>
      <c r="K32" s="77"/>
      <c r="L32" s="78"/>
    </row>
    <row r="33" spans="1:12" ht="54.75" customHeight="1" thickBot="1" x14ac:dyDescent="0.3">
      <c r="A33" s="6" t="s">
        <v>52</v>
      </c>
      <c r="B33" s="109" t="s">
        <v>77</v>
      </c>
      <c r="C33" s="110"/>
      <c r="D33" s="110"/>
      <c r="E33" s="110"/>
      <c r="F33" s="111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6" display="'Product Backlog HUs'!A6" xr:uid="{EF97126A-835D-4DE2-BABA-FADC39895945}"/>
    <hyperlink ref="A1" location="'Objetos de Dominio'!A1" display="Volver al inicio" xr:uid="{5EBFB731-7F48-40D5-BE89-EC36E0A0E4D0}"/>
    <hyperlink ref="A1:L1" location="'Product Backlog HUs'!A1" display="&lt;-Volver al listado" xr:uid="{B0455320-4394-4A89-92E0-C9E946C36582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E885-FCBC-4350-B9C4-0D6F827924B1}">
  <dimension ref="A1:Q33"/>
  <sheetViews>
    <sheetView workbookViewId="0">
      <pane ySplit="1" topLeftCell="A21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HUs'!D7</f>
        <v>HU6-Iniciar Juego - Cuestionario Mover Objetos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HUs'!$E$7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HUs'!$F$7</f>
        <v>acceso a las preguntas en la tarea "Clonación" de las que se requiere mover objetos a cierta posición,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HUs'!$G$7</f>
        <v>para comenzar a jugar y entrenar el razonamiento lógico.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HUs'!$H$7</f>
        <v>Como Estudiante, necesito acceso a las preguntas en la tarea "Clonación" de las que se requiere mover objetos a cierta posición, con instrucciones claras, estímulos visuales y auditivos, para comenzar a jugar y entrenar el razonamiento lógico.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HUs'!$I$7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HUs'!$J$7</f>
        <v>2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HUs'!$K$7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HUs'!$L$7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6.5" customHeight="1" x14ac:dyDescent="0.25">
      <c r="A28" s="4" t="s">
        <v>47</v>
      </c>
      <c r="B28" s="99" t="s">
        <v>83</v>
      </c>
      <c r="C28" s="100"/>
      <c r="D28" s="100"/>
      <c r="E28" s="100"/>
      <c r="F28" s="108"/>
      <c r="G28" s="2"/>
      <c r="H28" s="3"/>
      <c r="I28" s="77"/>
      <c r="J28" s="77"/>
      <c r="K28" s="77"/>
      <c r="L28" s="78"/>
    </row>
    <row r="29" spans="1:12" ht="75" customHeight="1" x14ac:dyDescent="0.25">
      <c r="A29" s="4" t="s">
        <v>48</v>
      </c>
      <c r="B29" s="99" t="s">
        <v>74</v>
      </c>
      <c r="C29" s="100"/>
      <c r="D29" s="100"/>
      <c r="E29" s="100"/>
      <c r="F29" s="108"/>
      <c r="G29" s="2"/>
      <c r="H29" s="3"/>
      <c r="I29" s="77"/>
      <c r="J29" s="77"/>
      <c r="K29" s="77"/>
      <c r="L29" s="78"/>
    </row>
    <row r="30" spans="1:12" ht="78.75" customHeight="1" x14ac:dyDescent="0.25">
      <c r="A30" s="4" t="s">
        <v>49</v>
      </c>
      <c r="B30" s="99" t="s">
        <v>144</v>
      </c>
      <c r="C30" s="100"/>
      <c r="D30" s="100"/>
      <c r="E30" s="100"/>
      <c r="F30" s="108"/>
      <c r="G30" s="2"/>
      <c r="H30" s="3"/>
      <c r="I30" s="77"/>
      <c r="J30" s="77"/>
      <c r="K30" s="77"/>
      <c r="L30" s="78"/>
    </row>
    <row r="31" spans="1:12" ht="74.25" customHeight="1" x14ac:dyDescent="0.25">
      <c r="A31" s="4" t="s">
        <v>50</v>
      </c>
      <c r="B31" s="99" t="s">
        <v>75</v>
      </c>
      <c r="C31" s="100"/>
      <c r="D31" s="100"/>
      <c r="E31" s="100"/>
      <c r="F31" s="108"/>
      <c r="G31" s="2"/>
      <c r="H31" s="3"/>
      <c r="I31" s="77"/>
      <c r="J31" s="77"/>
      <c r="K31" s="77"/>
      <c r="L31" s="78"/>
    </row>
    <row r="32" spans="1:12" ht="63.75" customHeight="1" x14ac:dyDescent="0.25">
      <c r="A32" s="4" t="s">
        <v>51</v>
      </c>
      <c r="B32" s="99" t="s">
        <v>76</v>
      </c>
      <c r="C32" s="100"/>
      <c r="D32" s="100"/>
      <c r="E32" s="100"/>
      <c r="F32" s="108"/>
      <c r="G32" s="2"/>
      <c r="H32" s="3"/>
      <c r="I32" s="77"/>
      <c r="J32" s="77"/>
      <c r="K32" s="77"/>
      <c r="L32" s="78"/>
    </row>
    <row r="33" spans="1:12" ht="54.75" customHeight="1" thickBot="1" x14ac:dyDescent="0.3">
      <c r="A33" s="6" t="s">
        <v>52</v>
      </c>
      <c r="B33" s="109" t="s">
        <v>77</v>
      </c>
      <c r="C33" s="110"/>
      <c r="D33" s="110"/>
      <c r="E33" s="110"/>
      <c r="F33" s="111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7" display="'Product Backlog HUs'!A7" xr:uid="{7893B693-58A9-4345-8622-882C7FDF8FA6}"/>
    <hyperlink ref="A1" location="'Objetos de Dominio'!A1" display="Volver al inicio" xr:uid="{55827199-3A1F-4D24-8049-5AF0C13E9F32}"/>
    <hyperlink ref="A1:L1" location="'Product Backlog HUs'!A1" display="&lt;-Volver al listado" xr:uid="{3B0E2FDC-3730-426E-B486-C97A7FAED4E5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ABF1-AF7F-4D1E-A921-4D8B319D3ACD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HUs'!D8</f>
        <v>HU7-Iniciar Juego - Tetris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HUs'!$E$8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HUs'!$F$8</f>
        <v>acceso a la actividad en la tarea "Todo en Orden" estilo "Tetris", con instrucciones claras, estímulos visuales y auditivos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HUs'!$G$8</f>
        <v>para comenzar a jugar y entrenar el razonamiento lógico.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HUs'!$H$8</f>
        <v>Como Estudiante, necesito acceso a la actividad en la tarea "Todo en Orden" estilo "Tetris", con instrucciones claras, estímulos visuales y auditivos, para comenzar a jugar y entrenar el razonamiento lógico.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HUs'!$I$8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HUs'!$J$8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HUs'!$K$8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HUs'!$L$8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79" t="s">
        <v>82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4.25" customHeight="1" x14ac:dyDescent="0.25">
      <c r="A29" s="4" t="s">
        <v>48</v>
      </c>
      <c r="B29" s="79" t="s">
        <v>74</v>
      </c>
      <c r="C29" s="79"/>
      <c r="D29" s="79"/>
      <c r="E29" s="79"/>
      <c r="F29" s="79"/>
      <c r="G29" s="2"/>
      <c r="H29" s="3"/>
      <c r="I29" s="77"/>
      <c r="J29" s="77"/>
      <c r="K29" s="77"/>
      <c r="L29" s="78"/>
    </row>
    <row r="30" spans="1:12" ht="81" customHeight="1" x14ac:dyDescent="0.25">
      <c r="A30" s="4" t="s">
        <v>49</v>
      </c>
      <c r="B30" s="79" t="s">
        <v>145</v>
      </c>
      <c r="C30" s="79"/>
      <c r="D30" s="79"/>
      <c r="E30" s="79"/>
      <c r="F30" s="79"/>
      <c r="G30" s="2"/>
      <c r="H30" s="3"/>
      <c r="I30" s="77"/>
      <c r="J30" s="77"/>
      <c r="K30" s="77"/>
      <c r="L30" s="78"/>
    </row>
    <row r="31" spans="1:12" ht="72" customHeight="1" x14ac:dyDescent="0.25">
      <c r="A31" s="4" t="s">
        <v>50</v>
      </c>
      <c r="B31" s="79" t="s">
        <v>75</v>
      </c>
      <c r="C31" s="79"/>
      <c r="D31" s="79"/>
      <c r="E31" s="79"/>
      <c r="F31" s="79"/>
      <c r="G31" s="2"/>
      <c r="H31" s="3"/>
      <c r="I31" s="77"/>
      <c r="J31" s="77"/>
      <c r="K31" s="77"/>
      <c r="L31" s="78"/>
    </row>
    <row r="32" spans="1:12" ht="66.75" customHeight="1" x14ac:dyDescent="0.25">
      <c r="A32" s="4" t="s">
        <v>51</v>
      </c>
      <c r="B32" s="79" t="s">
        <v>76</v>
      </c>
      <c r="C32" s="79"/>
      <c r="D32" s="79"/>
      <c r="E32" s="79"/>
      <c r="F32" s="79"/>
      <c r="G32" s="2"/>
      <c r="H32" s="3"/>
      <c r="I32" s="77"/>
      <c r="J32" s="77"/>
      <c r="K32" s="77"/>
      <c r="L32" s="78"/>
    </row>
    <row r="33" spans="1:12" ht="61.5" customHeight="1" thickBot="1" x14ac:dyDescent="0.3">
      <c r="A33" s="6" t="s">
        <v>52</v>
      </c>
      <c r="B33" s="88" t="s">
        <v>81</v>
      </c>
      <c r="C33" s="89"/>
      <c r="D33" s="89"/>
      <c r="E33" s="89"/>
      <c r="F33" s="89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8" display="'Product Backlog HUs'!A8" xr:uid="{19BA31C5-3083-4A68-896C-217AF370899B}"/>
    <hyperlink ref="A1" location="'Objetos de Dominio'!A1" display="Volver al inicio" xr:uid="{CDBB8A73-36BF-424F-A542-90092EB27EE5}"/>
    <hyperlink ref="A1:L1" location="'Product Backlog HUs'!A1" display="&lt;-Volver al listado" xr:uid="{C092FE0B-A600-4247-BEE7-5F4D29EE9F72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C27-16D1-4839-A4F3-41C727EF0398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HUs'!D9</f>
        <v>HU8-Iniciar Juego - Combinación Matemática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HUs'!$E$9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HUs'!$F$9</f>
        <v>acceso a la actividad en la tarea "Todo en Orden" en la que se requiere hacer operaciones aritméticas para obtener cierto número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HUs'!$G$9</f>
        <v>para comenzar a jugar y entrenar la resolución de problemas.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HUs'!$H$9</f>
        <v>Como Estudiante, necesito acceso a la actividad en la tarea "Todo en Orden" en la que se requiere hacer operaciones aritméticas para obtener cierto número, para comenzar a jugar y entrenar la resolución de problemas.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HUs'!$I$9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HUs'!$J$9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HUs'!$K$9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HUs'!$L$9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79" t="s">
        <v>82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4.25" customHeight="1" x14ac:dyDescent="0.25">
      <c r="A29" s="4" t="s">
        <v>48</v>
      </c>
      <c r="B29" s="79" t="s">
        <v>74</v>
      </c>
      <c r="C29" s="79"/>
      <c r="D29" s="79"/>
      <c r="E29" s="79"/>
      <c r="F29" s="79"/>
      <c r="G29" s="2"/>
      <c r="H29" s="3"/>
      <c r="I29" s="77"/>
      <c r="J29" s="77"/>
      <c r="K29" s="77"/>
      <c r="L29" s="78"/>
    </row>
    <row r="30" spans="1:12" ht="81" customHeight="1" x14ac:dyDescent="0.25">
      <c r="A30" s="4" t="s">
        <v>49</v>
      </c>
      <c r="B30" s="79" t="s">
        <v>80</v>
      </c>
      <c r="C30" s="79"/>
      <c r="D30" s="79"/>
      <c r="E30" s="79"/>
      <c r="F30" s="79"/>
      <c r="G30" s="2"/>
      <c r="H30" s="3"/>
      <c r="I30" s="77"/>
      <c r="J30" s="77"/>
      <c r="K30" s="77"/>
      <c r="L30" s="78"/>
    </row>
    <row r="31" spans="1:12" ht="72" customHeight="1" x14ac:dyDescent="0.25">
      <c r="A31" s="4" t="s">
        <v>50</v>
      </c>
      <c r="B31" s="79" t="s">
        <v>75</v>
      </c>
      <c r="C31" s="79"/>
      <c r="D31" s="79"/>
      <c r="E31" s="79"/>
      <c r="F31" s="79"/>
      <c r="G31" s="2"/>
      <c r="H31" s="3"/>
      <c r="I31" s="77"/>
      <c r="J31" s="77"/>
      <c r="K31" s="77"/>
      <c r="L31" s="78"/>
    </row>
    <row r="32" spans="1:12" ht="66.75" customHeight="1" x14ac:dyDescent="0.25">
      <c r="A32" s="4" t="s">
        <v>51</v>
      </c>
      <c r="B32" s="79" t="s">
        <v>76</v>
      </c>
      <c r="C32" s="79"/>
      <c r="D32" s="79"/>
      <c r="E32" s="79"/>
      <c r="F32" s="79"/>
      <c r="G32" s="2"/>
      <c r="H32" s="3"/>
      <c r="I32" s="77"/>
      <c r="J32" s="77"/>
      <c r="K32" s="77"/>
      <c r="L32" s="78"/>
    </row>
    <row r="33" spans="1:12" ht="61.5" customHeight="1" thickBot="1" x14ac:dyDescent="0.3">
      <c r="A33" s="6" t="s">
        <v>52</v>
      </c>
      <c r="B33" s="88" t="s">
        <v>81</v>
      </c>
      <c r="C33" s="89"/>
      <c r="D33" s="89"/>
      <c r="E33" s="89"/>
      <c r="F33" s="89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9" display="'Product Backlog HUs'!A9" xr:uid="{ED96232B-3DCB-42B5-84FE-CF3F053B8E7E}"/>
    <hyperlink ref="A1" location="'Objetos de Dominio'!A1" display="Volver al inicio" xr:uid="{62461B1A-00C8-47EF-868A-388FC320842B}"/>
    <hyperlink ref="A1:L1" location="'Product Backlog HUs'!A1" display="&lt;-Volver al listado" xr:uid="{C5646E10-32EF-415A-A01F-A2D0F3861BC4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B8B3-1F04-4D87-90D6-FA57CF5C6BBF}">
  <dimension ref="A1:Q33"/>
  <sheetViews>
    <sheetView workbookViewId="0">
      <pane ySplit="1" topLeftCell="A2" activePane="bottomLeft" state="frozen"/>
      <selection pane="bottomLeft" activeCell="A3" sqref="A3:L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HUs'!D10</f>
        <v>HU9-Iniciar Juego - Hallar Patrón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HUs'!$E$10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HUs'!$F$10</f>
        <v>acceso a la actividad en la tarea "Todo en Orden" en la que se requiere buscar la secuencia correcta de colores en 8 intentos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HUs'!$G$10</f>
        <v>para comenzar a jugar y entrenar la resolución de problemas.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HUs'!$H$10</f>
        <v>Como Estudiante, necesito acceso a la actividad en la tarea "Todo en Orden" en la que se requiere buscar la secuencia correcta de colores en 8 intentos, para para comenzar a jugar y entrenar la resolución de problemas.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HUs'!$I$10</f>
        <v>XL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HUs'!$J$10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HUs'!$K$10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HUs'!$L$10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79" t="s">
        <v>82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4.25" customHeight="1" x14ac:dyDescent="0.25">
      <c r="A29" s="4" t="s">
        <v>48</v>
      </c>
      <c r="B29" s="79" t="s">
        <v>74</v>
      </c>
      <c r="C29" s="79"/>
      <c r="D29" s="79"/>
      <c r="E29" s="79"/>
      <c r="F29" s="79"/>
      <c r="G29" s="2"/>
      <c r="H29" s="3"/>
      <c r="I29" s="77"/>
      <c r="J29" s="77"/>
      <c r="K29" s="77"/>
      <c r="L29" s="78"/>
    </row>
    <row r="30" spans="1:12" ht="81" customHeight="1" x14ac:dyDescent="0.25">
      <c r="A30" s="4" t="s">
        <v>49</v>
      </c>
      <c r="B30" s="79" t="s">
        <v>80</v>
      </c>
      <c r="C30" s="79"/>
      <c r="D30" s="79"/>
      <c r="E30" s="79"/>
      <c r="F30" s="79"/>
      <c r="G30" s="2"/>
      <c r="H30" s="3"/>
      <c r="I30" s="77"/>
      <c r="J30" s="77"/>
      <c r="K30" s="77"/>
      <c r="L30" s="78"/>
    </row>
    <row r="31" spans="1:12" ht="72" customHeight="1" x14ac:dyDescent="0.25">
      <c r="A31" s="4" t="s">
        <v>50</v>
      </c>
      <c r="B31" s="79" t="s">
        <v>75</v>
      </c>
      <c r="C31" s="79"/>
      <c r="D31" s="79"/>
      <c r="E31" s="79"/>
      <c r="F31" s="79"/>
      <c r="G31" s="2"/>
      <c r="H31" s="3"/>
      <c r="I31" s="77"/>
      <c r="J31" s="77"/>
      <c r="K31" s="77"/>
      <c r="L31" s="78"/>
    </row>
    <row r="32" spans="1:12" ht="66.75" customHeight="1" x14ac:dyDescent="0.25">
      <c r="A32" s="4" t="s">
        <v>51</v>
      </c>
      <c r="B32" s="79" t="s">
        <v>76</v>
      </c>
      <c r="C32" s="79"/>
      <c r="D32" s="79"/>
      <c r="E32" s="79"/>
      <c r="F32" s="79"/>
      <c r="G32" s="2"/>
      <c r="H32" s="3"/>
      <c r="I32" s="77"/>
      <c r="J32" s="77"/>
      <c r="K32" s="77"/>
      <c r="L32" s="78"/>
    </row>
    <row r="33" spans="1:12" ht="61.5" customHeight="1" thickBot="1" x14ac:dyDescent="0.3">
      <c r="A33" s="6" t="s">
        <v>52</v>
      </c>
      <c r="B33" s="88" t="s">
        <v>81</v>
      </c>
      <c r="C33" s="89"/>
      <c r="D33" s="89"/>
      <c r="E33" s="89"/>
      <c r="F33" s="89"/>
      <c r="G33" s="7"/>
      <c r="H33" s="8"/>
      <c r="I33" s="86"/>
      <c r="J33" s="86"/>
      <c r="K33" s="86"/>
      <c r="L33" s="87"/>
    </row>
  </sheetData>
  <mergeCells count="5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  <mergeCell ref="B31:F31"/>
    <mergeCell ref="I31:L31"/>
    <mergeCell ref="B32:F32"/>
    <mergeCell ref="I32:L32"/>
    <mergeCell ref="B33:F33"/>
    <mergeCell ref="I33:L33"/>
  </mergeCells>
  <hyperlinks>
    <hyperlink ref="A3:L3" location="'Product Backlog HUs'!A10" display="'Product Backlog HUs'!A10" xr:uid="{DF248CCF-6FE8-42ED-A538-F316A0EAF635}"/>
    <hyperlink ref="A1" location="'Objetos de Dominio'!A1" display="Volver al inicio" xr:uid="{EBE95959-5FB2-41AC-87FB-666BDAAC4D92}"/>
    <hyperlink ref="A1:L1" location="'Product Backlog HUs'!A1" display="&lt;-Volver al listado" xr:uid="{F95B7061-3BAC-435D-AD6F-F7B73B42E848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DBE9-C533-40BD-BAFC-6B268B742158}">
  <dimension ref="A1:Q29"/>
  <sheetViews>
    <sheetView workbookViewId="0">
      <pane ySplit="1" topLeftCell="A19" activePane="bottomLeft" state="frozen"/>
      <selection pane="bottomLeft" activeCell="P31" sqref="P31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HUs'!D11</f>
        <v>HU10-Registrar Respuesta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HUs'!$E$11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HUs'!$F$11</f>
        <v>registrar la respuesta de un estudiante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HUs'!$G$11</f>
        <v>para verificar si la respuesta fue correcta o no.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HUs'!$H$11</f>
        <v>Como Estudiante, necesito registrar la respuesta de un estudiante, para verificar si la respuesta fue correcta o no.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HUs'!$I$11</f>
        <v>L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HUs'!$J$11</f>
        <v>7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HUs'!$K$11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HUs'!$L$11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112" t="s">
        <v>146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7.25" customHeight="1" x14ac:dyDescent="0.25">
      <c r="A29" s="47" t="s">
        <v>48</v>
      </c>
      <c r="B29" s="79" t="s">
        <v>147</v>
      </c>
      <c r="C29" s="79"/>
      <c r="D29" s="79"/>
      <c r="E29" s="79"/>
      <c r="F29" s="79"/>
      <c r="G29" s="2"/>
      <c r="H29" s="3"/>
      <c r="I29" s="113"/>
      <c r="J29" s="114"/>
      <c r="K29" s="114"/>
      <c r="L29" s="115"/>
    </row>
  </sheetData>
  <mergeCells count="43"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  <mergeCell ref="A19:D19"/>
    <mergeCell ref="E19:L19"/>
    <mergeCell ref="A20:L20"/>
    <mergeCell ref="A21:L21"/>
    <mergeCell ref="A22:L22"/>
    <mergeCell ref="A23:L23"/>
    <mergeCell ref="A16:D16"/>
    <mergeCell ref="E16:L16"/>
    <mergeCell ref="A17:D17"/>
    <mergeCell ref="E17:L17"/>
    <mergeCell ref="A18:D18"/>
    <mergeCell ref="E18:L18"/>
    <mergeCell ref="A12:D12"/>
    <mergeCell ref="E12:L12"/>
    <mergeCell ref="A13:D13"/>
    <mergeCell ref="E13:L13"/>
    <mergeCell ref="A14:L14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:L1"/>
    <mergeCell ref="A2:L2"/>
    <mergeCell ref="A3:L3"/>
    <mergeCell ref="A4:L4"/>
    <mergeCell ref="B5:L5"/>
    <mergeCell ref="B6:L6"/>
  </mergeCells>
  <hyperlinks>
    <hyperlink ref="A3:L3" location="'Product Backlog HUs'!A7" display="'Product Backlog HUs'!A7" xr:uid="{ECF908BE-DD91-43DB-B361-18E919142C5B}"/>
    <hyperlink ref="A1" location="'Objetos de Dominio'!A1" display="Volver al inicio" xr:uid="{B7AFE538-FDE4-40B4-85A1-0E37092D38A5}"/>
    <hyperlink ref="A1:L1" location="'Product Backlog HUs'!A1" display="&lt;-Volver al listado" xr:uid="{9822E772-A78B-47BF-928D-79CF6F33CC80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A15D-6479-4578-9F90-7DE531FCB12C}">
  <dimension ref="A1:Q29"/>
  <sheetViews>
    <sheetView workbookViewId="0">
      <pane ySplit="1" topLeftCell="A2" activePane="bottomLeft" state="frozen"/>
      <selection pane="bottomLeft" activeCell="B5" sqref="B5:L5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HUs'!D12</f>
        <v>HU11-Finalizar Tarea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HUs'!$E$12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HUs'!$F$12</f>
        <v>finalizar una tarea específica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HUs'!$G$12</f>
        <v>para continuar a la tarea siguiente.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HUs'!$H$12</f>
        <v>Como Estudiante, necesito finalizar una tarea específica, para continuar a la tarea siguiente.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HUs'!$I$12</f>
        <v>S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HUs'!$J$12</f>
        <v>2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HUs'!$K$12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HUs'!$L$12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112" t="s">
        <v>153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  <row r="29" spans="1:12" ht="77.25" customHeight="1" x14ac:dyDescent="0.25">
      <c r="A29" s="47" t="s">
        <v>48</v>
      </c>
      <c r="B29" s="112" t="s">
        <v>154</v>
      </c>
      <c r="C29" s="79"/>
      <c r="D29" s="79"/>
      <c r="E29" s="79"/>
      <c r="F29" s="79"/>
      <c r="G29" s="2"/>
      <c r="H29" s="3"/>
      <c r="I29" s="113"/>
      <c r="J29" s="114"/>
      <c r="K29" s="114"/>
      <c r="L29" s="115"/>
    </row>
  </sheetData>
  <mergeCells count="43"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  <mergeCell ref="A19:D19"/>
    <mergeCell ref="E19:L19"/>
    <mergeCell ref="A20:L20"/>
    <mergeCell ref="A21:L21"/>
    <mergeCell ref="A22:L22"/>
    <mergeCell ref="A23:L23"/>
    <mergeCell ref="A16:D16"/>
    <mergeCell ref="E16:L16"/>
    <mergeCell ref="A17:D17"/>
    <mergeCell ref="E17:L17"/>
    <mergeCell ref="A18:D18"/>
    <mergeCell ref="E18:L18"/>
    <mergeCell ref="A12:D12"/>
    <mergeCell ref="E12:L12"/>
    <mergeCell ref="A13:D13"/>
    <mergeCell ref="E13:L13"/>
    <mergeCell ref="A14:L14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:L1"/>
    <mergeCell ref="A2:L2"/>
    <mergeCell ref="A3:L3"/>
    <mergeCell ref="A4:L4"/>
    <mergeCell ref="B5:L5"/>
    <mergeCell ref="B6:L6"/>
  </mergeCells>
  <hyperlinks>
    <hyperlink ref="A3:L3" location="'Product Backlog HUs'!A7" display="'Product Backlog HUs'!A7" xr:uid="{A95862C8-D294-4098-8AB3-FD637507FBCD}"/>
    <hyperlink ref="A1" location="'Objetos de Dominio'!A1" display="Volver al inicio" xr:uid="{C6E11447-5D40-4054-A97C-C29D3CF6CF24}"/>
    <hyperlink ref="A1:L1" location="'Product Backlog HUs'!A1" display="&lt;-Volver al listado" xr:uid="{CE3B7833-B1C0-462A-8242-FCB5A9EB4D26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CDDF-31CD-4756-8B73-EFD2CE27EA4E}">
  <dimension ref="A1:Q28"/>
  <sheetViews>
    <sheetView workbookViewId="0">
      <pane ySplit="1" topLeftCell="A2" activePane="bottomLeft" state="frozen"/>
      <selection pane="bottomLeft" activeCell="Q28" sqref="Q28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HUs'!D13</f>
        <v>HU12-Finalizar Actividad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HUs'!$E$13</f>
        <v>Estudiante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HUs'!$F$13</f>
        <v>finalizar una actividad específica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HUs'!$G$13</f>
        <v>para continuar al siguiente estimulo con diferente actividad.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HUs'!$H$13</f>
        <v>Como Estudiante, necesito finalizar una actividad específica, para continuar al siguiente estimulo con diferente actividad.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HUs'!$I$13</f>
        <v>S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HUs'!$J$13</f>
        <v>2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HUs'!$K$13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HUs'!$L$13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112" t="s">
        <v>157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</sheetData>
  <mergeCells count="41"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  <mergeCell ref="A19:D19"/>
    <mergeCell ref="E19:L19"/>
    <mergeCell ref="A20:L20"/>
    <mergeCell ref="A21:L21"/>
    <mergeCell ref="A22:L22"/>
    <mergeCell ref="A23:L23"/>
    <mergeCell ref="A16:D16"/>
    <mergeCell ref="E16:L16"/>
    <mergeCell ref="A17:D17"/>
    <mergeCell ref="E17:L17"/>
    <mergeCell ref="A18:D18"/>
    <mergeCell ref="E18:L18"/>
    <mergeCell ref="A12:D12"/>
    <mergeCell ref="E12:L12"/>
    <mergeCell ref="A13:D13"/>
    <mergeCell ref="E13:L13"/>
    <mergeCell ref="A14:L14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:L1"/>
    <mergeCell ref="A2:L2"/>
    <mergeCell ref="A3:L3"/>
    <mergeCell ref="A4:L4"/>
    <mergeCell ref="B5:L5"/>
    <mergeCell ref="B6:L6"/>
  </mergeCells>
  <hyperlinks>
    <hyperlink ref="A3:L3" location="'Product Backlog HUs'!A7" display="'Product Backlog HUs'!A7" xr:uid="{AFCCF3EE-839A-4DFC-BD88-A5CD745D48F3}"/>
    <hyperlink ref="A1" location="'Objetos de Dominio'!A1" display="Volver al inicio" xr:uid="{DF750A6D-6899-44FD-A7D3-DC23F9905330}"/>
    <hyperlink ref="A1:L1" location="'Product Backlog HUs'!A1" display="&lt;-Volver al listado" xr:uid="{35FEA29B-5A0B-4A5C-915C-D26983E7460E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005-905F-4293-8F17-6F729142BFE3}">
  <dimension ref="A1:Q28"/>
  <sheetViews>
    <sheetView workbookViewId="0">
      <pane ySplit="1" topLeftCell="A2" activePane="bottomLeft" state="frozen"/>
      <selection pane="bottomLeft" activeCell="B28" sqref="B28:F28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HUs'!D14</f>
        <v>HU13-Finalizar Entrenamiento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HUs'!$E$14</f>
        <v>Entrenador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HUs'!$F$14</f>
        <v>finalizar el entrenamiento del estudiante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HUs'!$G$14</f>
        <v>para iniciar el proceso de revisión.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HUs'!$H$14</f>
        <v>Como Entrenador, necesito finalizar el entrenamiento del estudiante, para iniciar el proceso de revisión.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HUs'!$I$14</f>
        <v>M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HUs'!$J$14</f>
        <v>3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HUs'!$K$14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HUs'!$L$14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79" t="s">
        <v>159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</sheetData>
  <mergeCells count="41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7" display="'Product Backlog HUs'!A7" xr:uid="{A6B320B0-89BC-424F-ABA7-1A0AC5FA6E62}"/>
    <hyperlink ref="A1" location="'Objetos de Dominio'!A1" display="Volver al inicio" xr:uid="{52FF4BD9-925E-4796-836F-CEBE0AF44482}"/>
    <hyperlink ref="A1:L1" location="'Product Backlog HUs'!A1" display="&lt;-Volver al listado" xr:uid="{6632135C-D37E-4AD1-B201-57CA140DC74C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C19C-37AF-4B62-9D39-A2C4E487D3B5}">
  <dimension ref="A1:Q28"/>
  <sheetViews>
    <sheetView workbookViewId="0">
      <pane ySplit="1" topLeftCell="A2" activePane="bottomLeft" state="frozen"/>
      <selection pane="bottomLeft" activeCell="Q23" sqref="Q23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HUs'!D15</f>
        <v>HU14-Calcular Resultados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HUs'!$E$15</f>
        <v>Entrenador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HUs'!$F$15</f>
        <v>calcular cada uno de los resultados del estudiante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HUs'!$G$15</f>
        <v>para iniciar el proceso de generación de informe.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HUs'!$H$15</f>
        <v>Como Entrenador, necesito calcular cada uno de los resultados del estudiante, para iniciar el proceso de generación de informe.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HUs'!$I$15</f>
        <v>M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HUs'!$J$15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HUs'!$K$15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HUs'!$L$15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79" t="s">
        <v>160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</sheetData>
  <mergeCells count="41"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  <mergeCell ref="A19:D19"/>
    <mergeCell ref="E19:L19"/>
    <mergeCell ref="A20:L20"/>
    <mergeCell ref="A21:L21"/>
    <mergeCell ref="A22:L22"/>
    <mergeCell ref="A23:L23"/>
    <mergeCell ref="A16:D16"/>
    <mergeCell ref="E16:L16"/>
    <mergeCell ref="A17:D17"/>
    <mergeCell ref="E17:L17"/>
    <mergeCell ref="A18:D18"/>
    <mergeCell ref="E18:L18"/>
    <mergeCell ref="A12:D12"/>
    <mergeCell ref="E12:L12"/>
    <mergeCell ref="A13:D13"/>
    <mergeCell ref="E13:L13"/>
    <mergeCell ref="A14:L14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:L1"/>
    <mergeCell ref="A2:L2"/>
    <mergeCell ref="A3:L3"/>
    <mergeCell ref="A4:L4"/>
    <mergeCell ref="B5:L5"/>
    <mergeCell ref="B6:L6"/>
  </mergeCells>
  <hyperlinks>
    <hyperlink ref="A3:L3" location="'Product Backlog HUs'!A7" display="'Product Backlog HUs'!A7" xr:uid="{B21FB00C-F70D-4429-BB8B-68B4B376B919}"/>
    <hyperlink ref="A1" location="'Objetos de Dominio'!A1" display="Volver al inicio" xr:uid="{452F0988-B5FE-4895-8E9A-198FC7A31506}"/>
    <hyperlink ref="A1:L1" location="'Product Backlog HUs'!A1" display="&lt;-Volver al listado" xr:uid="{E35DBCB8-25AD-4786-8021-ED6A9434CEED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19A-EC12-42A2-A6C3-7D0EC826DA46}">
  <dimension ref="A1:Q28"/>
  <sheetViews>
    <sheetView workbookViewId="0">
      <pane ySplit="1" topLeftCell="A2" activePane="bottomLeft" state="frozen"/>
      <selection pane="bottomLeft" activeCell="B28" sqref="B28:F28"/>
    </sheetView>
  </sheetViews>
  <sheetFormatPr baseColWidth="10" defaultRowHeight="15" x14ac:dyDescent="0.25"/>
  <sheetData>
    <row r="1" spans="1:17" ht="15.75" thickBot="1" x14ac:dyDescent="0.3">
      <c r="A1" s="98" t="s">
        <v>71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7"/>
      <c r="N1" s="37"/>
      <c r="O1" s="37"/>
      <c r="P1" s="37"/>
      <c r="Q1" s="37"/>
    </row>
    <row r="2" spans="1:17" ht="21" x14ac:dyDescent="0.25">
      <c r="A2" s="102" t="s">
        <v>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1:17" x14ac:dyDescent="0.25">
      <c r="A3" s="105" t="str">
        <f>'Product Backlog HUs'!D16</f>
        <v>HU15-Generar Informe de Resultados de Sesión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7" ht="21" x14ac:dyDescent="0.25">
      <c r="A4" s="81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1:17" x14ac:dyDescent="0.25">
      <c r="A5" s="5" t="s">
        <v>25</v>
      </c>
      <c r="B5" s="79" t="str">
        <f>'Product Backlog HUs'!$E$16</f>
        <v>Entrenador</v>
      </c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7" x14ac:dyDescent="0.25">
      <c r="A6" s="5" t="s">
        <v>26</v>
      </c>
      <c r="B6" s="79" t="str">
        <f>'Product Backlog HUs'!$F$16</f>
        <v>generar informe por medio de un archivo Excel</v>
      </c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7" x14ac:dyDescent="0.25">
      <c r="A7" s="5" t="s">
        <v>27</v>
      </c>
      <c r="B7" s="79" t="str">
        <f>'Product Backlog HUs'!$G$16</f>
        <v>para luego determinar los pasos a seguir para mejorar el razonamiento lógico-cuantitativo del estudiante.</v>
      </c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7" ht="33.75" customHeight="1" x14ac:dyDescent="0.25">
      <c r="A8" s="85" t="str">
        <f>'Product Backlog HUs'!$H$16</f>
        <v>Como Entrenador, necesito generar informe por medio de un archivo Excel, para luego determinar los pasos a seguir para mejorar el razonamiento lógico-cuantitativo del estudiante.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7" ht="21" x14ac:dyDescent="0.25">
      <c r="A9" s="81" t="s">
        <v>55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7" x14ac:dyDescent="0.25">
      <c r="A10" s="85" t="str">
        <f>'Product Backlog HUs'!$I$1</f>
        <v>Talla</v>
      </c>
      <c r="B10" s="79"/>
      <c r="C10" s="79"/>
      <c r="D10" s="79"/>
      <c r="E10" s="79" t="str">
        <f>'Product Backlog HUs'!$I$16</f>
        <v>S</v>
      </c>
      <c r="F10" s="79"/>
      <c r="G10" s="79"/>
      <c r="H10" s="79"/>
      <c r="I10" s="79"/>
      <c r="J10" s="79"/>
      <c r="K10" s="79"/>
      <c r="L10" s="80"/>
    </row>
    <row r="11" spans="1:17" ht="15.75" customHeight="1" x14ac:dyDescent="0.25">
      <c r="A11" s="85" t="str">
        <f>'Product Backlog HUs'!$J$1</f>
        <v>Puntos de historia de usuario</v>
      </c>
      <c r="B11" s="79"/>
      <c r="C11" s="79"/>
      <c r="D11" s="79"/>
      <c r="E11" s="99">
        <f>'Product Backlog HUs'!$J$16</f>
        <v>5</v>
      </c>
      <c r="F11" s="100"/>
      <c r="G11" s="100"/>
      <c r="H11" s="100"/>
      <c r="I11" s="100"/>
      <c r="J11" s="100"/>
      <c r="K11" s="100"/>
      <c r="L11" s="101"/>
    </row>
    <row r="12" spans="1:17" ht="15.75" customHeight="1" x14ac:dyDescent="0.25">
      <c r="A12" s="85" t="str">
        <f>'Product Backlog HUs'!$K$1</f>
        <v>¿Definition of Ready?</v>
      </c>
      <c r="B12" s="79"/>
      <c r="C12" s="79"/>
      <c r="D12" s="79"/>
      <c r="E12" s="99">
        <f>'Product Backlog HUs'!$K$16</f>
        <v>0</v>
      </c>
      <c r="F12" s="100"/>
      <c r="G12" s="100"/>
      <c r="H12" s="100"/>
      <c r="I12" s="100"/>
      <c r="J12" s="100"/>
      <c r="K12" s="100"/>
      <c r="L12" s="101"/>
    </row>
    <row r="13" spans="1:17" ht="15.75" customHeight="1" x14ac:dyDescent="0.25">
      <c r="A13" s="85" t="str">
        <f>'Product Backlog HUs'!$L$1</f>
        <v>¿Definition of Done?</v>
      </c>
      <c r="B13" s="79"/>
      <c r="C13" s="79"/>
      <c r="D13" s="79"/>
      <c r="E13" s="99">
        <f>'Product Backlog HUs'!$L$16</f>
        <v>0</v>
      </c>
      <c r="F13" s="100"/>
      <c r="G13" s="100"/>
      <c r="H13" s="100"/>
      <c r="I13" s="100"/>
      <c r="J13" s="100"/>
      <c r="K13" s="100"/>
      <c r="L13" s="101"/>
    </row>
    <row r="14" spans="1:17" ht="21" x14ac:dyDescent="0.25">
      <c r="A14" s="81" t="s">
        <v>28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7" x14ac:dyDescent="0.25">
      <c r="A15" s="85" t="s">
        <v>29</v>
      </c>
      <c r="B15" s="79"/>
      <c r="C15" s="79"/>
      <c r="D15" s="79"/>
      <c r="E15" s="79" t="s">
        <v>84</v>
      </c>
      <c r="F15" s="79"/>
      <c r="G15" s="79"/>
      <c r="H15" s="79"/>
      <c r="I15" s="79"/>
      <c r="J15" s="79"/>
      <c r="K15" s="79"/>
      <c r="L15" s="80"/>
    </row>
    <row r="16" spans="1:17" ht="15.75" customHeight="1" x14ac:dyDescent="0.25">
      <c r="A16" s="85" t="s">
        <v>30</v>
      </c>
      <c r="B16" s="79"/>
      <c r="C16" s="79"/>
      <c r="D16" s="79"/>
      <c r="E16" s="79" t="s">
        <v>84</v>
      </c>
      <c r="F16" s="79"/>
      <c r="G16" s="79"/>
      <c r="H16" s="79"/>
      <c r="I16" s="79"/>
      <c r="J16" s="79"/>
      <c r="K16" s="79"/>
      <c r="L16" s="80"/>
    </row>
    <row r="17" spans="1:12" ht="15.75" customHeight="1" x14ac:dyDescent="0.25">
      <c r="A17" s="85" t="s">
        <v>31</v>
      </c>
      <c r="B17" s="79"/>
      <c r="C17" s="79"/>
      <c r="D17" s="79"/>
      <c r="E17" s="79" t="s">
        <v>84</v>
      </c>
      <c r="F17" s="79"/>
      <c r="G17" s="79"/>
      <c r="H17" s="79"/>
      <c r="I17" s="79"/>
      <c r="J17" s="79"/>
      <c r="K17" s="79"/>
      <c r="L17" s="80"/>
    </row>
    <row r="18" spans="1:12" ht="15.75" customHeight="1" x14ac:dyDescent="0.25">
      <c r="A18" s="85" t="s">
        <v>32</v>
      </c>
      <c r="B18" s="79"/>
      <c r="C18" s="79"/>
      <c r="D18" s="79"/>
      <c r="E18" s="79" t="s">
        <v>84</v>
      </c>
      <c r="F18" s="79"/>
      <c r="G18" s="79"/>
      <c r="H18" s="79"/>
      <c r="I18" s="79"/>
      <c r="J18" s="79"/>
      <c r="K18" s="79"/>
      <c r="L18" s="80"/>
    </row>
    <row r="19" spans="1:12" ht="15.75" customHeight="1" x14ac:dyDescent="0.25">
      <c r="A19" s="85" t="s">
        <v>33</v>
      </c>
      <c r="B19" s="79"/>
      <c r="C19" s="79"/>
      <c r="D19" s="79"/>
      <c r="E19" s="79" t="s">
        <v>84</v>
      </c>
      <c r="F19" s="79"/>
      <c r="G19" s="79"/>
      <c r="H19" s="79"/>
      <c r="I19" s="79"/>
      <c r="J19" s="79"/>
      <c r="K19" s="79"/>
      <c r="L19" s="80"/>
    </row>
    <row r="20" spans="1:12" x14ac:dyDescent="0.25">
      <c r="A20" s="85" t="s">
        <v>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ht="30" customHeight="1" x14ac:dyDescent="0.25">
      <c r="A21" s="85" t="s">
        <v>38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1:12" ht="30" customHeight="1" x14ac:dyDescent="0.25">
      <c r="A22" s="90" t="s">
        <v>39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</row>
    <row r="23" spans="1:12" ht="18.75" x14ac:dyDescent="0.25">
      <c r="A23" s="94" t="s">
        <v>35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6"/>
    </row>
    <row r="24" spans="1:12" ht="15.75" customHeight="1" x14ac:dyDescent="0.25">
      <c r="A24" s="85" t="s">
        <v>36</v>
      </c>
      <c r="B24" s="79"/>
      <c r="C24" s="79"/>
      <c r="D24" s="79"/>
      <c r="E24" s="79" t="s">
        <v>84</v>
      </c>
      <c r="F24" s="79"/>
      <c r="G24" s="79"/>
      <c r="H24" s="79"/>
      <c r="I24" s="79"/>
      <c r="J24" s="79"/>
      <c r="K24" s="79"/>
      <c r="L24" s="80"/>
    </row>
    <row r="25" spans="1:12" ht="21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x14ac:dyDescent="0.25">
      <c r="A26" s="93" t="s">
        <v>41</v>
      </c>
      <c r="B26" s="84" t="s">
        <v>42</v>
      </c>
      <c r="C26" s="84"/>
      <c r="D26" s="84"/>
      <c r="E26" s="84"/>
      <c r="F26" s="84"/>
      <c r="G26" s="84" t="s">
        <v>43</v>
      </c>
      <c r="H26" s="84"/>
      <c r="I26" s="84" t="s">
        <v>44</v>
      </c>
      <c r="J26" s="84"/>
      <c r="K26" s="84"/>
      <c r="L26" s="97"/>
    </row>
    <row r="27" spans="1:12" x14ac:dyDescent="0.25">
      <c r="A27" s="93"/>
      <c r="B27" s="84"/>
      <c r="C27" s="84"/>
      <c r="D27" s="84"/>
      <c r="E27" s="84"/>
      <c r="F27" s="84"/>
      <c r="G27" s="9" t="s">
        <v>45</v>
      </c>
      <c r="H27" s="10" t="s">
        <v>46</v>
      </c>
      <c r="I27" s="84"/>
      <c r="J27" s="84"/>
      <c r="K27" s="84"/>
      <c r="L27" s="97"/>
    </row>
    <row r="28" spans="1:12" ht="77.25" customHeight="1" x14ac:dyDescent="0.25">
      <c r="A28" s="4" t="s">
        <v>47</v>
      </c>
      <c r="B28" s="79" t="s">
        <v>158</v>
      </c>
      <c r="C28" s="79"/>
      <c r="D28" s="79"/>
      <c r="E28" s="79"/>
      <c r="F28" s="79"/>
      <c r="G28" s="2"/>
      <c r="H28" s="3"/>
      <c r="I28" s="77"/>
      <c r="J28" s="77"/>
      <c r="K28" s="77"/>
      <c r="L28" s="78"/>
    </row>
  </sheetData>
  <mergeCells count="41"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  <mergeCell ref="A19:D19"/>
    <mergeCell ref="E19:L19"/>
    <mergeCell ref="A20:L20"/>
    <mergeCell ref="A21:L21"/>
    <mergeCell ref="A22:L22"/>
    <mergeCell ref="A23:L23"/>
    <mergeCell ref="A16:D16"/>
    <mergeCell ref="E16:L16"/>
    <mergeCell ref="A17:D17"/>
    <mergeCell ref="E17:L17"/>
    <mergeCell ref="A18:D18"/>
    <mergeCell ref="E18:L18"/>
    <mergeCell ref="A12:D12"/>
    <mergeCell ref="E12:L12"/>
    <mergeCell ref="A13:D13"/>
    <mergeCell ref="E13:L13"/>
    <mergeCell ref="A14:L14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:L1"/>
    <mergeCell ref="A2:L2"/>
    <mergeCell ref="A3:L3"/>
    <mergeCell ref="A4:L4"/>
    <mergeCell ref="B5:L5"/>
    <mergeCell ref="B6:L6"/>
  </mergeCells>
  <hyperlinks>
    <hyperlink ref="A3:L3" location="'Product Backlog HUs'!A7" display="'Product Backlog HUs'!A7" xr:uid="{DE45E070-DF1B-4785-86DF-77D4E4A79ABA}"/>
    <hyperlink ref="A1" location="'Objetos de Dominio'!A1" display="Volver al inicio" xr:uid="{E8D5C707-C62C-44D1-8C63-64CFD63A8453}"/>
    <hyperlink ref="A1:L1" location="'Product Backlog HUs'!A1" display="&lt;-Volver al listado" xr:uid="{BE46717B-6CBF-401B-80F3-A63F38AB05C6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0" ma:contentTypeDescription="Crear nuevo documento." ma:contentTypeScope="" ma:versionID="b24b9c618f26a7f5898de1c13fded6f0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1b230ff9972fda723d9ad96722259e8e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8141BC-F546-4E6D-BF36-6AAA75587A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B73F85-32BB-4B4E-87A0-3CBA63051BE6}">
  <ds:schemaRefs>
    <ds:schemaRef ds:uri="http://schemas.microsoft.com/office/2006/metadata/properties"/>
    <ds:schemaRef ds:uri="http://schemas.microsoft.com/office/infopath/2007/PartnerControls"/>
    <ds:schemaRef ds:uri="d3168a39-8cd2-49bc-b1c5-42f933dcfd23"/>
  </ds:schemaRefs>
</ds:datastoreItem>
</file>

<file path=customXml/itemProps3.xml><?xml version="1.0" encoding="utf-8"?>
<ds:datastoreItem xmlns:ds="http://schemas.openxmlformats.org/officeDocument/2006/customXml" ds:itemID="{982559F1-9C09-4FC7-B594-7CE26658E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68a39-8cd2-49bc-b1c5-42f933dcf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Ejemplo desarrollo sprints</vt:lpstr>
      <vt:lpstr>Product Backlog HUs</vt:lpstr>
      <vt:lpstr>Mapa de historias de usuario</vt:lpstr>
      <vt:lpstr>Plan de liberaciones</vt:lpstr>
      <vt:lpstr>HU1</vt:lpstr>
      <vt:lpstr>HU2</vt:lpstr>
      <vt:lpstr>HU3</vt:lpstr>
      <vt:lpstr>HU4</vt:lpstr>
      <vt:lpstr>HU5</vt:lpstr>
      <vt:lpstr>HU6</vt:lpstr>
      <vt:lpstr>HU7</vt:lpstr>
      <vt:lpstr>HU8</vt:lpstr>
      <vt:lpstr>HU9</vt:lpstr>
      <vt:lpstr>HU10</vt:lpstr>
      <vt:lpstr>HU11</vt:lpstr>
      <vt:lpstr>HU12</vt:lpstr>
      <vt:lpstr>HU13</vt:lpstr>
      <vt:lpstr>HU14</vt:lpstr>
      <vt:lpstr>HU15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Jacobo Jaramillo Jaramillo</cp:lastModifiedBy>
  <dcterms:created xsi:type="dcterms:W3CDTF">2023-02-08T15:29:20Z</dcterms:created>
  <dcterms:modified xsi:type="dcterms:W3CDTF">2025-03-05T00:49:40Z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2023-04-17T18:49:36Z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43cf653b-0165-408d-9391-bc2dcb4e5b01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</Properties>
</file>