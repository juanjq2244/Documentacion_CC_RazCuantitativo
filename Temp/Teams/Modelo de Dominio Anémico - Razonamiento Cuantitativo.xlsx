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7"/>
  <workbookPr/>
  <mc:AlternateContent xmlns:mc="http://schemas.openxmlformats.org/markup-compatibility/2006">
    <mc:Choice Requires="x15">
      <x15ac:absPath xmlns:x15ac="http://schemas.microsoft.com/office/spreadsheetml/2010/11/ac" url="C:\Users\DrOkt\Downloads\"/>
    </mc:Choice>
  </mc:AlternateContent>
  <xr:revisionPtr revIDLastSave="11" documentId="13_ncr:1_{D57F6D4C-98A4-4737-B855-534546580CEF}" xr6:coauthVersionLast="47" xr6:coauthVersionMax="47" xr10:uidLastSave="{094D3F31-ED4F-4E5C-81C9-EB7B368A4FFF}"/>
  <bookViews>
    <workbookView xWindow="-120" yWindow="-120" windowWidth="29040" windowHeight="15840" firstSheet="3" activeTab="2" xr2:uid="{178F3C2E-30BD-4937-905B-A4CF7D59647C}"/>
  </bookViews>
  <sheets>
    <sheet name="Modelo de Dominio Anémico" sheetId="1" r:id="rId1"/>
    <sheet name="Contexto" sheetId="8" r:id="rId2"/>
    <sheet name="Objeto de Dominio " sheetId="2" r:id="rId3"/>
    <sheet name="Tutorial Tarea" sheetId="7" r:id="rId4"/>
    <sheet name="Tarea" sheetId="11" r:id="rId5"/>
    <sheet name="Tutorial Nivel" sheetId="16" r:id="rId6"/>
    <sheet name="Nivel" sheetId="12" r:id="rId7"/>
    <sheet name="Estimulo" sheetId="3" r:id="rId8"/>
    <sheet name="Opción Respuesta" sheetId="15" r:id="rId9"/>
    <sheet name="Respuesta Estimulo" sheetId="13"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6" l="1"/>
  <c r="B3" i="16"/>
  <c r="F3" i="7"/>
  <c r="F4" i="7"/>
  <c r="F5" i="7"/>
  <c r="F6" i="7"/>
  <c r="F7" i="7"/>
  <c r="F8" i="7"/>
  <c r="F9" i="7"/>
  <c r="F10" i="7"/>
  <c r="F11" i="7"/>
  <c r="F12" i="7"/>
  <c r="F13" i="7"/>
  <c r="F14" i="7"/>
  <c r="F15" i="7"/>
  <c r="F16" i="7"/>
  <c r="F17" i="7"/>
  <c r="F18" i="7"/>
  <c r="F19" i="7"/>
  <c r="F20" i="7"/>
  <c r="F21" i="7"/>
  <c r="F22" i="7"/>
  <c r="F23" i="7"/>
  <c r="F24" i="7"/>
  <c r="F2" i="7"/>
  <c r="B5" i="16"/>
  <c r="F5" i="16" s="1"/>
  <c r="B6" i="16"/>
  <c r="F6" i="16" s="1"/>
  <c r="B4" i="16"/>
  <c r="F4" i="16" s="1"/>
  <c r="B2" i="16"/>
  <c r="F2" i="16" s="1"/>
  <c r="B2" i="7"/>
  <c r="B3" i="7"/>
  <c r="B4" i="7"/>
  <c r="B5" i="7"/>
  <c r="B6" i="7"/>
  <c r="B7" i="7"/>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2" i="3"/>
  <c r="C2" i="12"/>
  <c r="C3" i="12"/>
  <c r="C4" i="12"/>
  <c r="C5" i="12"/>
  <c r="C6" i="12"/>
  <c r="C7" i="12"/>
  <c r="C8" i="12"/>
  <c r="C9" i="12"/>
  <c r="C10" i="12"/>
  <c r="C11" i="12"/>
  <c r="C12" i="12"/>
  <c r="C13" i="12"/>
  <c r="D3" i="12" l="1"/>
  <c r="D4" i="12"/>
  <c r="D5" i="12"/>
  <c r="B14" i="3" s="1"/>
  <c r="D6" i="12"/>
  <c r="B15" i="3" s="1"/>
  <c r="D7" i="12"/>
  <c r="B16" i="3" s="1"/>
  <c r="D8" i="12"/>
  <c r="D9" i="12"/>
  <c r="D10" i="12"/>
  <c r="D11" i="12"/>
  <c r="B20" i="3" s="1"/>
  <c r="D12" i="12"/>
  <c r="B21" i="3" s="1"/>
  <c r="D13" i="12"/>
  <c r="D2" i="12"/>
  <c r="B24" i="7"/>
  <c r="B45" i="15"/>
  <c r="F45" i="15" s="1"/>
  <c r="E16" i="3" s="1"/>
  <c r="B55" i="15"/>
  <c r="F55" i="15" s="1"/>
  <c r="E20" i="3" s="1"/>
  <c r="B56" i="15"/>
  <c r="F56" i="15" s="1"/>
  <c r="E21" i="3" s="1"/>
  <c r="C3" i="11"/>
  <c r="C4" i="11"/>
  <c r="C5" i="11"/>
  <c r="C2" i="11"/>
  <c r="B23" i="7"/>
  <c r="B22" i="7"/>
  <c r="B21" i="7"/>
  <c r="B20" i="7"/>
  <c r="B19" i="7"/>
  <c r="B18" i="7"/>
  <c r="B17" i="7"/>
  <c r="B16" i="7"/>
  <c r="B15" i="7"/>
  <c r="B14" i="7"/>
  <c r="B13" i="7"/>
  <c r="B12" i="7"/>
  <c r="B11" i="7"/>
  <c r="B10" i="7"/>
  <c r="B9" i="7"/>
  <c r="B8" i="7"/>
  <c r="B8" i="3" l="1"/>
  <c r="B7" i="3"/>
  <c r="B6" i="3"/>
  <c r="B5" i="3"/>
  <c r="B4" i="3"/>
  <c r="B3" i="3"/>
  <c r="B2" i="3"/>
  <c r="B32" i="3"/>
  <c r="B67" i="15" s="1"/>
  <c r="F67" i="15" s="1"/>
  <c r="E32" i="3" s="1"/>
  <c r="B31" i="3"/>
  <c r="B66" i="15" s="1"/>
  <c r="F66" i="15" s="1"/>
  <c r="E31" i="3" s="1"/>
  <c r="B30" i="3"/>
  <c r="B65" i="15" s="1"/>
  <c r="F65" i="15" s="1"/>
  <c r="E30" i="3" s="1"/>
  <c r="B29" i="3"/>
  <c r="B64" i="15" s="1"/>
  <c r="F64" i="15" s="1"/>
  <c r="E29" i="3" s="1"/>
  <c r="B28" i="3"/>
  <c r="B63" i="15" s="1"/>
  <c r="F63" i="15" s="1"/>
  <c r="E28" i="3" s="1"/>
  <c r="B27" i="3"/>
  <c r="B62" i="15" s="1"/>
  <c r="F62" i="15" s="1"/>
  <c r="E27" i="3" s="1"/>
  <c r="B26" i="3"/>
  <c r="B61" i="15" s="1"/>
  <c r="F61" i="15" s="1"/>
  <c r="E26" i="3" s="1"/>
  <c r="B25" i="3"/>
  <c r="B60" i="15" s="1"/>
  <c r="F60" i="15" s="1"/>
  <c r="E25" i="3" s="1"/>
  <c r="B24" i="3"/>
  <c r="B59" i="15" s="1"/>
  <c r="F59" i="15" s="1"/>
  <c r="E24" i="3" s="1"/>
  <c r="B23" i="3"/>
  <c r="B58" i="15" s="1"/>
  <c r="F58" i="15" s="1"/>
  <c r="E23" i="3" s="1"/>
  <c r="B22" i="3"/>
  <c r="B57" i="15" s="1"/>
  <c r="F57" i="15" s="1"/>
  <c r="E22" i="3" s="1"/>
  <c r="B19" i="3"/>
  <c r="B18" i="3"/>
  <c r="B17" i="3"/>
  <c r="B46" i="15" s="1"/>
  <c r="F46" i="15" s="1"/>
  <c r="E17" i="3" s="1"/>
  <c r="B13" i="3"/>
  <c r="B12" i="3"/>
  <c r="B11" i="3"/>
  <c r="B10" i="3"/>
  <c r="B9" i="3"/>
  <c r="B54" i="15"/>
  <c r="F54" i="15" s="1"/>
  <c r="B53" i="15"/>
  <c r="F53" i="15" s="1"/>
  <c r="B52" i="15"/>
  <c r="F52" i="15" s="1"/>
  <c r="B51" i="15"/>
  <c r="F51" i="15" s="1"/>
  <c r="E19" i="3" s="1"/>
  <c r="B50" i="15"/>
  <c r="F50" i="15" s="1"/>
  <c r="B49" i="15"/>
  <c r="F49" i="15" s="1"/>
  <c r="E18" i="3" s="1"/>
  <c r="B48" i="15"/>
  <c r="F48" i="15" s="1"/>
  <c r="B47" i="15"/>
  <c r="F47" i="15" s="1"/>
  <c r="B44" i="15"/>
  <c r="F44" i="15" s="1"/>
  <c r="E15" i="3" s="1"/>
  <c r="B43" i="15"/>
  <c r="F43" i="15" s="1"/>
  <c r="B42" i="15"/>
  <c r="F42" i="15" s="1"/>
  <c r="B41" i="15"/>
  <c r="F41" i="15" s="1"/>
  <c r="B40" i="15"/>
  <c r="F40" i="15" s="1"/>
  <c r="E14" i="3" s="1"/>
  <c r="B39" i="15"/>
  <c r="F39" i="15" s="1"/>
  <c r="B38" i="15"/>
  <c r="F38" i="15" s="1"/>
  <c r="E13" i="3" s="1"/>
  <c r="B37" i="15"/>
  <c r="F37" i="15" s="1"/>
  <c r="B36" i="15"/>
  <c r="F36" i="15" s="1"/>
  <c r="B35" i="15"/>
  <c r="F35" i="15" s="1"/>
  <c r="E12" i="3" s="1"/>
  <c r="B34" i="15"/>
  <c r="F34" i="15" s="1"/>
  <c r="B33" i="15"/>
  <c r="F33" i="15" s="1"/>
  <c r="B32" i="15"/>
  <c r="F32" i="15" s="1"/>
  <c r="B31" i="15"/>
  <c r="F31" i="15" s="1"/>
  <c r="E11" i="3" s="1"/>
  <c r="B30" i="15"/>
  <c r="F30" i="15" s="1"/>
  <c r="B29" i="15"/>
  <c r="F29" i="15" s="1"/>
  <c r="B28" i="15"/>
  <c r="F28" i="15" s="1"/>
  <c r="B27" i="15"/>
  <c r="F27" i="15" s="1"/>
  <c r="E10" i="3" s="1"/>
  <c r="B26" i="15"/>
  <c r="F26" i="15" s="1"/>
  <c r="B25" i="15"/>
  <c r="F25" i="15" s="1"/>
  <c r="E9" i="3" s="1"/>
  <c r="B24" i="15"/>
  <c r="F24" i="15" s="1"/>
  <c r="B23" i="15"/>
  <c r="F23" i="15" s="1"/>
  <c r="B4" i="15"/>
  <c r="F4" i="15" s="1"/>
  <c r="B3" i="15"/>
  <c r="F3" i="15" s="1"/>
  <c r="E2" i="3" s="1"/>
  <c r="B2" i="15"/>
  <c r="F2" i="15" s="1"/>
  <c r="C2" i="13"/>
  <c r="G2" i="13" s="1"/>
  <c r="B22" i="15"/>
  <c r="F22" i="15" s="1"/>
  <c r="E8" i="3" s="1"/>
  <c r="B21" i="15"/>
  <c r="F21" i="15" s="1"/>
  <c r="B20" i="15"/>
  <c r="F20" i="15" s="1"/>
  <c r="B19" i="15"/>
  <c r="F19" i="15" s="1"/>
  <c r="B18" i="15"/>
  <c r="F18" i="15" s="1"/>
  <c r="E7" i="3" s="1"/>
  <c r="B17" i="15"/>
  <c r="F17" i="15" s="1"/>
  <c r="B16" i="15"/>
  <c r="F16" i="15" s="1"/>
  <c r="E6" i="3" s="1"/>
  <c r="B15" i="15"/>
  <c r="F15" i="15" s="1"/>
  <c r="B14" i="15"/>
  <c r="F14" i="15" s="1"/>
  <c r="B13" i="15"/>
  <c r="F13" i="15" s="1"/>
  <c r="B12" i="15"/>
  <c r="F12" i="15" s="1"/>
  <c r="B11" i="15"/>
  <c r="F11" i="15" s="1"/>
  <c r="E5" i="3" s="1"/>
  <c r="B10" i="15"/>
  <c r="F10" i="15" s="1"/>
  <c r="E4" i="3" s="1"/>
  <c r="B9" i="15"/>
  <c r="F9" i="15" s="1"/>
  <c r="B8" i="15"/>
  <c r="F8" i="15" s="1"/>
  <c r="B7" i="15"/>
  <c r="F7" i="15" s="1"/>
  <c r="B6" i="15"/>
  <c r="F6" i="15" s="1"/>
  <c r="B5" i="15"/>
  <c r="F5" i="15" s="1"/>
  <c r="E3" i="3" s="1"/>
  <c r="C3" i="13"/>
  <c r="G3"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Jaramillo</author>
  </authors>
  <commentList>
    <comment ref="D55" authorId="0" shapeId="0" xr:uid="{DAF171B7-7218-4A8D-AF54-6BC210191C3F}">
      <text>
        <r>
          <rPr>
            <b/>
            <sz val="9"/>
            <color indexed="81"/>
            <rFont val="Tahoma"/>
            <family val="2"/>
          </rPr>
          <t>Jaramillo:</t>
        </r>
        <r>
          <rPr>
            <sz val="9"/>
            <color indexed="81"/>
            <rFont val="Tahoma"/>
            <family val="2"/>
          </rPr>
          <t xml:space="preserve">
Tiempo medido en segundos, el estudiante debe llegar a los 0 segundos sin fallar en el estimulo de "Tetris".</t>
        </r>
      </text>
    </comment>
    <comment ref="D56" authorId="0" shapeId="0" xr:uid="{D0340848-6434-47E5-AC3A-73E479E5DD33}">
      <text>
        <r>
          <rPr>
            <b/>
            <sz val="9"/>
            <color indexed="81"/>
            <rFont val="Tahoma"/>
            <family val="2"/>
          </rPr>
          <t>Jaramillo:</t>
        </r>
        <r>
          <rPr>
            <sz val="9"/>
            <color indexed="81"/>
            <rFont val="Tahoma"/>
            <family val="2"/>
          </rPr>
          <t xml:space="preserve">
Cada operacion debe llegar a este numero.</t>
        </r>
      </text>
    </comment>
  </commentList>
</comments>
</file>

<file path=xl/sharedStrings.xml><?xml version="1.0" encoding="utf-8"?>
<sst xmlns="http://schemas.openxmlformats.org/spreadsheetml/2006/main" count="283" uniqueCount="141">
  <si>
    <t>Nombre</t>
  </si>
  <si>
    <t>Descripcion</t>
  </si>
  <si>
    <t>Razonamiento Cuantitativo</t>
  </si>
  <si>
    <t>El contexto de Razonamiento Cuantitativo es el encargado de almacenar y organizar la información de cada componente de esta variable, en donde el estudiante realizara actividades para reforzar y estimular sus habilidades en el razonamiento cuantitativo.</t>
  </si>
  <si>
    <t>Subdominio/Contexto</t>
  </si>
  <si>
    <t>Descripción</t>
  </si>
  <si>
    <t>Tipo</t>
  </si>
  <si>
    <t>Contexto</t>
  </si>
  <si>
    <t>Estudiante</t>
  </si>
  <si>
    <t>Alumno de primer semestre de la UCO con falencias en Razonamiento Lógico.</t>
  </si>
  <si>
    <t>Referenciado</t>
  </si>
  <si>
    <t>Componente Base</t>
  </si>
  <si>
    <t>Sesión de entrenamiento</t>
  </si>
  <si>
    <t>Sesión donde el entrenador evalúa las capacidades de razonamiento lógico del estudiante.</t>
  </si>
  <si>
    <t>Tutorial Tarea</t>
  </si>
  <si>
    <t>Serie de instrucciones sobre como funciona la tarea antes de la sesión. Representada por un cerebrito de caricatura.</t>
  </si>
  <si>
    <t>Propio</t>
  </si>
  <si>
    <t>Tutorial Nivel</t>
  </si>
  <si>
    <t>Serie de instrucciones sobre como funciona un nivel antes de la sesión. Representada por un cerebrito de caricatura.</t>
  </si>
  <si>
    <t>Tarea</t>
  </si>
  <si>
    <t>Serie de niveles y estímulos para que el entrenador evalúe las habilidades de razonamiento lógico del estudiante.</t>
  </si>
  <si>
    <t>Nivel</t>
  </si>
  <si>
    <t>Subdivisión de una Tarea que aumenta progresivamente su dificultad.</t>
  </si>
  <si>
    <t>Estímulo</t>
  </si>
  <si>
    <t>Elementos únicos de cada nível para que el estudiante interactúe con las tareas.</t>
  </si>
  <si>
    <t>Respuesta Estimulo</t>
  </si>
  <si>
    <t>Respuestas del estudiante por cada estímulo durante una sesión.</t>
  </si>
  <si>
    <t>Opción de Respuesta</t>
  </si>
  <si>
    <t>Cada opcion de respuesta única de un estimulo.</t>
  </si>
  <si>
    <t>Identificador</t>
  </si>
  <si>
    <t>Indice de Mensaje</t>
  </si>
  <si>
    <t>Tiempo Límite (En Segundos)</t>
  </si>
  <si>
    <t>Mensaje</t>
  </si>
  <si>
    <t>CU</t>
  </si>
  <si>
    <t>Estamos dentro de un volcán y para sobrevivir en él deberás analizar las imágenes que aparecerán en las rocas y hallar cuál de estas no tiene relación con las demás, solo una no se relacionará. Tu objetivo consistirá en descubrir cuál de estas es y saltar hasta la roca donde esta se encuentra antes que el tiempo se agote y caigas a la lava.
(Recuerda la relación puede ser por forma, color o cantidad.)</t>
  </si>
  <si>
    <t>Para moverte deberás usar las letras del teclado; con la letra A te moverás a la izquierda, con la letra D a la derecha y con la letra W saltarás.
W + A = salto a la izquierda
W + D = salto a la derecha
Ahora inténtalo tú.</t>
  </si>
  <si>
    <t>El logo que aparece en la parte superior derecha de tu pantalla
Equivale a puntos que obtendrás a medida que vayas jugando y podrás intercambiar por recompensas más adelante.</t>
  </si>
  <si>
    <t>El logo que aparece en la parte superior izquierda de tu pantalla
Equivale al número de vidas que posees. Cada vez que toques la lava perderás una vida.</t>
  </si>
  <si>
    <t>El logo que aparece en la parte superior central de tu pantalla
Equivale al tiempo que te queda para elegir una opción. A medida que el tiempo disminuye el círculo ira prendiendo circunferencia.</t>
  </si>
  <si>
    <t>Por último, en la parte inferior izquierda de tu pantalla se llevará la cuenta de tus aciertos.</t>
  </si>
  <si>
    <t>Hola de nuevo, me alegra verte, hoy conocerás una nueva versión de nuestro laboratorio, en la cual nos encargamos de agregarles nutrientes a los alimentos para que la comida de nuestra cafetería tenga un mejor sabor y aporte más energía a cada uno de nuestros clientes.</t>
  </si>
  <si>
    <t>El día de hoy vamos a realizar diversas mezclas de químicos basados en los colores para generar un grupo de compuestos y nutrientes necesarios para la fabricación de alimentos que se venderán en la cafetería. Contamos con tu ayuda.</t>
  </si>
  <si>
    <t>En este nivel tendremos que mezclar diversos químicos identificados por colores con el objetivo de que quede igual al ejemplo que se mostrara en la parte superior de la pantalla, esto para obtener el mejor café posible.</t>
  </si>
  <si>
    <t>Los químicos con los que trabajaremos en esta tarea son:
🟡 🔵 🔴</t>
  </si>
  <si>
    <t>Dentro de cada estímulo tendrás el ejemplo en la parte superior y en la parte inferior el espacio donde tú lo debes realizar.
Así:</t>
  </si>
  <si>
    <t>Ejemplo en la parte superior, espacio para realizarlo en la parte inferior.</t>
  </si>
  <si>
    <t>En este nivel podrás mover los químicos para que formen la misma secuencia que el ejemplo. Para esto deberás usar el mouse del computador y arrastrar el químico por los espacios que se requiera. Estos, a medida que el color pase por ellos, se pintarán del mismo. A su vez, puedes mover varios colores por un mismo espacio y los colores se mezclarán cuando se junten en una misma casilla.</t>
  </si>
  <si>
    <t>Para realizar esta actividad cuentas con un tiempo determinado por cada estímulo el cual será de 42 segundos, e iniciarás con 3 vidas las cuales perderás si se acaba el tiempo y no has hecho la mezcla.</t>
  </si>
  <si>
    <t>Hola, me alegra verte, justo te necesitábamos, el día de hoy vamos a clonar a nuestras ratas de laboratorio, ninguna de ellas va a sufrir daño, pero para eso necesitamos tu ayuda, para lograr hacer el experimento de forma correcta deberás utilizar la lógica en las distintas pruebas que tendremos, para estas necesitarás utilizar el mouse de tu computador para manipular los objetos que en estas aparezcan así como el teclado.
¿Estás listo?</t>
  </si>
  <si>
    <t>Es hora de que conozcas algunos de los instrumentos que usaremos el día de hoy:
Molécula | Cadena de ADN | Ratas | Embudo</t>
  </si>
  <si>
    <t>Ahora que conoces todos los instrumentos, estás listo para iniciar.
Recuerda que en algunas situaciones deberás usar el mouse de tu computadora y en otras el teclado, pero en todas deberás usar tu razonamiento.
Buena suerte.</t>
  </si>
  <si>
    <t>El día de hoy queremos organizar varios instrumentos del laboratorio ya que se han ido desacomodando luego de los experimentos. Contamos con tu ayuda.</t>
  </si>
  <si>
    <t>En esta primera actividad vamos a organizar los instrumentos del laboratorio de la mejor manera posible optimizando el espacio con el que contamos.
Para iniciar este nivel haz click en la estantería.</t>
  </si>
  <si>
    <t>Estamos en la primera actividad, en esta necesitaremos acomodar algunos instrumentos de la mejor manera posible para optimizar el espacio con el que contamos en la estantería. El objetivo es hacer caer piezas e ir rellenando huecos para conseguir hacer líneas. Una vez creadas, desaparecerán y sumarás 1 punto. Si consigues hacer una de cuatro sumarás 10 puntos.</t>
  </si>
  <si>
    <t>Para realizar esta tarea debemos utilizar las flechas del teclado para mover las figuras y la barra espaciadora para rotarlas de posición.</t>
  </si>
  <si>
    <t>Estos serán los instrumentos que deberemos acomodar con su respectiva medida.</t>
  </si>
  <si>
    <t>Por último debes saber que en la parte superior izquierda aparecerá un cuadro donde te mostrarán el siguiente instrumento en salir, y estos saldrán cada 7 segundos.</t>
  </si>
  <si>
    <t>El Suelo es Lava</t>
  </si>
  <si>
    <t>Los Secretos del Chef</t>
  </si>
  <si>
    <t>Clonacion</t>
  </si>
  <si>
    <t>Todo en Orden</t>
  </si>
  <si>
    <t>Ahora que sabes todo lo que necesitas para sobrevivir estás listo para iniciar.
Haz click en iniciar cuando estés listo.</t>
  </si>
  <si>
    <t>¿Listo para iniciar? Estos serán los estímulos de este nivel; Cuadernos (Blanco y negro), Lápices (Blanco y negro), Borradores (Blanco y negro)</t>
  </si>
  <si>
    <t>Ya estás listo para iniciar, buena suerte, esperamos lo mejor de ti.</t>
  </si>
  <si>
    <t>Para desarrollar las siguientes actividades contarás con un tiempo determinado el cual no se mostrará en pantalla, cuando solo te queden 30 segundos la pantalla comenzará a vibrar, ahí tendrás que darte prisa.
Recuerda cuentas con 3 vidas, cada una de estas se pierde si realizas mal un ejercicio.</t>
  </si>
  <si>
    <t>Ahora que sabes esto ya estás listo para iniciar. Buena suerte.</t>
  </si>
  <si>
    <t>Intensidad</t>
  </si>
  <si>
    <t>Pregunta</t>
  </si>
  <si>
    <t>Respuesta Correcta</t>
  </si>
  <si>
    <t>Tiempo Límite en Segundos</t>
  </si>
  <si>
    <t>"Identifique el patron que no pertenece."</t>
  </si>
  <si>
    <t>"Replique la tabla en la parte superior."</t>
  </si>
  <si>
    <t>"Organice los tubos."</t>
  </si>
  <si>
    <t>"En nuestro laboratorio la reproducción de ratas es de 4 crías por pareja cada seis meses, desde que nacen se pueden reproducir, ¿en cuánto tiempo tendremos 9 parejas de ratas si solo contamos con una pareja inicia?"</t>
  </si>
  <si>
    <t>"En el laboratorio utilizamos un lenguaje artificial para referirnos a ciertas palabras claves, estas palabras se traducen en números. Así: Tubo = 12234, Pipeta = 5657128, Vidrio = 1160964, Embalar = 71381389. Pero se nos acaba de perder el número de la palabra Embudo, podrías ayudarnos y decirnos ¿Cuál sería el código de la palabra Embudo?"</t>
  </si>
  <si>
    <t>"Ahora estamos organizando una cadena de ADN pero necesitamos que cada enlace esté ubicado en fila india, de tal manera que tres enlaces queden detrás de tres enlaces. ¿Cuántos enlaces necesitaríamos como mínimo?"</t>
  </si>
  <si>
    <t>"Evite poner una ficha en el limite superior."</t>
  </si>
  <si>
    <t>"Seleccione dos numeros que, al operarlos (suma, resta, multiplicacion, division), resultan en el numero del centro.</t>
  </si>
  <si>
    <t>"Encuentre el orden adecuado de los colores."</t>
  </si>
  <si>
    <t>Estimulo</t>
  </si>
  <si>
    <t>Opcion</t>
  </si>
  <si>
    <t>Detalle</t>
  </si>
  <si>
    <t>"3 Cuadernos"</t>
  </si>
  <si>
    <t>NO</t>
  </si>
  <si>
    <t>"4 Lapices"</t>
  </si>
  <si>
    <t>SI</t>
  </si>
  <si>
    <t>"2 Cuadernos"</t>
  </si>
  <si>
    <t>"4 Cuadernos"</t>
  </si>
  <si>
    <t>"5 Lapices"</t>
  </si>
  <si>
    <t>"5 Cuadernos"</t>
  </si>
  <si>
    <t>"6 Cuadernos"</t>
  </si>
  <si>
    <t>"6 Lapices"</t>
  </si>
  <si>
    <t>"3 Cuadernos Negros"</t>
  </si>
  <si>
    <t>"3 Cuadernos Blancos"</t>
  </si>
  <si>
    <t>"6 Cuadernos Negros"</t>
  </si>
  <si>
    <t>"7 Lapices Negros"</t>
  </si>
  <si>
    <t>"6 Borradores Negros"</t>
  </si>
  <si>
    <t>"6 Lapices Negros"</t>
  </si>
  <si>
    <t>"8 Cuadernos Verdes"</t>
  </si>
  <si>
    <t>"8 Lapices Verdes"</t>
  </si>
  <si>
    <t>"8 Calculadoras Blancas"</t>
  </si>
  <si>
    <t>"9 Borradores Negros"</t>
  </si>
  <si>
    <t>"6 Calculadoras Negros"</t>
  </si>
  <si>
    <t>"8 Calculadoras Verdes"</t>
  </si>
  <si>
    <t>"7 Cuadernos Blancas"</t>
  </si>
  <si>
    <t>"9 Calculadoras Azules"</t>
  </si>
  <si>
    <t>"Azul - Amarillo - Rojo, Azul - Amarillo - Rojo, Azul - Amarillo - Amarillo"</t>
  </si>
  <si>
    <t>"Vacio - Azul - Azul - Azul"</t>
  </si>
  <si>
    <t>"Vacio - Vacio - Vacio - Azul"</t>
  </si>
  <si>
    <t>"Vacio - Vacio - Vacio - Vacio"</t>
  </si>
  <si>
    <t>"Azul - Azul - Azul - Azul"</t>
  </si>
  <si>
    <t>"Blanco - Azul - Blanco, Azul Claro - Azul - Amarillo, Azul - Blanco - Blanco"</t>
  </si>
  <si>
    <t>"12"</t>
  </si>
  <si>
    <t>"382546"</t>
  </si>
  <si>
    <t>"935678"</t>
  </si>
  <si>
    <t>"713204"</t>
  </si>
  <si>
    <t>"345902"</t>
  </si>
  <si>
    <t>"6"</t>
  </si>
  <si>
    <t>"7"</t>
  </si>
  <si>
    <t>"8"</t>
  </si>
  <si>
    <t>"5"</t>
  </si>
  <si>
    <t>"0"</t>
  </si>
  <si>
    <t>"30"</t>
  </si>
  <si>
    <t>"Amarillo - Verde - Rojo"</t>
  </si>
  <si>
    <t>"Amarillo - Azul - Verde"</t>
  </si>
  <si>
    <t>"Verde - Azul - Morado"</t>
  </si>
  <si>
    <t>"Amarillo - Azul - Verde - Rojo"</t>
  </si>
  <si>
    <t>"Azul - Morado - Verde - Amarillo"</t>
  </si>
  <si>
    <t>"Morado - Verde - Rojo"</t>
  </si>
  <si>
    <t>"Azul - Rojo - Verde"</t>
  </si>
  <si>
    <t>"Verde - Azul - Morado - Rojo - Amarillo"</t>
  </si>
  <si>
    <t>"Rojo - Morado - Verde - Amarillo"</t>
  </si>
  <si>
    <t>"Amarillo - Azul - Morado - Rojo"</t>
  </si>
  <si>
    <t>"Morado - Verde - Azul - Amarillo"</t>
  </si>
  <si>
    <t>Sesion</t>
  </si>
  <si>
    <t>Cantidad Intentos</t>
  </si>
  <si>
    <t>Tiempo Restante</t>
  </si>
  <si>
    <t>Puntos</t>
  </si>
  <si>
    <t>Estudiante: juan.ernesto6245@uco.edu.co - Inicio: 08/13/2025 1:10 PM - Fin: 08/13/2025 3:59 PM</t>
  </si>
  <si>
    <t>15s</t>
  </si>
  <si>
    <t>30s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</si>
</sst>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9"/>
      <color indexed="81"/>
      <name val="Tahoma"/>
      <family val="2"/>
    </font>
    <font>
      <b/>
      <sz val="9"/>
      <color indexed="81"/>
      <name val="Tahoma"/>
      <family val="2"/>
    </font>
  </fonts>
  <fills count="7">
    <fill>
      <patternFill patternType="none"/>
    </fill>
    <fill>
      <patternFill patternType="gray125"/>
    </fill>
    <fill>
      <patternFill patternType="solid">
        <fgColor rgb="FFFFFF66"/>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medium">
        <color indexed="64"/>
      </bottom>
      <diagonal/>
    </border>
  </borders>
  <cellStyleXfs count="3">
    <xf numFmtId="0" fontId="0" fillId="0" borderId="0"/>
    <xf numFmtId="0" fontId="3" fillId="0" borderId="0" applyNumberFormat="0" applyFill="0" applyBorder="0" applyAlignment="0" applyProtection="0"/>
    <xf numFmtId="0" fontId="3" fillId="0" borderId="0" applyNumberFormat="0" applyFill="0" applyBorder="0" applyAlignment="0" applyProtection="0"/>
  </cellStyleXfs>
  <cellXfs count="72">
    <xf numFmtId="0" fontId="0" fillId="0" borderId="0" xfId="0"/>
    <xf numFmtId="0" fontId="1" fillId="3" borderId="1" xfId="0" applyFont="1" applyFill="1" applyBorder="1" applyAlignment="1">
      <alignment horizontal="center"/>
    </xf>
    <xf numFmtId="0" fontId="0" fillId="4" borderId="1" xfId="0" applyFill="1" applyBorder="1"/>
    <xf numFmtId="0" fontId="0" fillId="4" borderId="1" xfId="0" applyFill="1" applyBorder="1" applyAlignment="1">
      <alignment horizontal="left" vertical="top" wrapText="1"/>
    </xf>
    <xf numFmtId="0" fontId="0" fillId="4" borderId="1" xfId="0" applyFill="1" applyBorder="1" applyAlignment="1">
      <alignment wrapText="1"/>
    </xf>
    <xf numFmtId="0" fontId="0" fillId="0" borderId="1" xfId="0" applyBorder="1" applyAlignment="1">
      <alignment horizontal="left"/>
    </xf>
    <xf numFmtId="0" fontId="0" fillId="0" borderId="4" xfId="0" applyBorder="1" applyAlignment="1">
      <alignment vertical="center"/>
    </xf>
    <xf numFmtId="0" fontId="0" fillId="0" borderId="5" xfId="0" applyBorder="1" applyAlignment="1">
      <alignment wrapText="1"/>
    </xf>
    <xf numFmtId="0" fontId="0" fillId="4" borderId="2" xfId="0" applyFill="1" applyBorder="1"/>
    <xf numFmtId="0" fontId="0" fillId="4" borderId="3" xfId="0" applyFill="1" applyBorder="1"/>
    <xf numFmtId="0" fontId="0" fillId="4" borderId="1" xfId="0" applyFill="1" applyBorder="1" applyAlignment="1">
      <alignment vertical="center"/>
    </xf>
    <xf numFmtId="0" fontId="1" fillId="3" borderId="7" xfId="0" applyFont="1" applyFill="1" applyBorder="1" applyAlignment="1">
      <alignment horizontal="center"/>
    </xf>
    <xf numFmtId="0" fontId="0" fillId="4" borderId="9" xfId="0" applyFill="1" applyBorder="1"/>
    <xf numFmtId="0" fontId="0" fillId="0" borderId="9" xfId="0" applyBorder="1"/>
    <xf numFmtId="0" fontId="1" fillId="3" borderId="8" xfId="0" applyFont="1" applyFill="1" applyBorder="1"/>
    <xf numFmtId="0" fontId="0" fillId="4" borderId="8" xfId="0" applyFill="1" applyBorder="1" applyAlignment="1">
      <alignment vertical="center"/>
    </xf>
    <xf numFmtId="0" fontId="0" fillId="4" borderId="5" xfId="0" applyFill="1" applyBorder="1" applyAlignment="1">
      <alignment vertical="center"/>
    </xf>
    <xf numFmtId="0" fontId="0" fillId="4" borderId="9" xfId="0" applyFill="1" applyBorder="1" applyAlignment="1">
      <alignment vertical="center"/>
    </xf>
    <xf numFmtId="0" fontId="1" fillId="5" borderId="3" xfId="0" applyFont="1" applyFill="1" applyBorder="1" applyAlignment="1">
      <alignment horizontal="center"/>
    </xf>
    <xf numFmtId="0" fontId="0" fillId="0" borderId="7" xfId="0" applyBorder="1" applyAlignment="1">
      <alignment horizontal="left"/>
    </xf>
    <xf numFmtId="0" fontId="0" fillId="5" borderId="8" xfId="0" applyFill="1" applyBorder="1" applyAlignment="1">
      <alignment horizontal="left"/>
    </xf>
    <xf numFmtId="0" fontId="0" fillId="5" borderId="8" xfId="0" applyFill="1" applyBorder="1"/>
    <xf numFmtId="0" fontId="0" fillId="5" borderId="5" xfId="0" applyFill="1" applyBorder="1"/>
    <xf numFmtId="0" fontId="1" fillId="5" borderId="2" xfId="0" applyFont="1" applyFill="1" applyBorder="1" applyAlignment="1">
      <alignment horizontal="center"/>
    </xf>
    <xf numFmtId="0" fontId="1" fillId="5" borderId="6" xfId="0" applyFont="1" applyFill="1" applyBorder="1" applyAlignment="1">
      <alignment horizontal="center"/>
    </xf>
    <xf numFmtId="0" fontId="0" fillId="0" borderId="1" xfId="0" applyBorder="1" applyAlignment="1">
      <alignment horizontal="left" wrapText="1"/>
    </xf>
    <xf numFmtId="0" fontId="0" fillId="0" borderId="4" xfId="0" applyBorder="1" applyAlignment="1">
      <alignment horizontal="left"/>
    </xf>
    <xf numFmtId="0" fontId="0" fillId="0" borderId="9" xfId="0" applyBorder="1" applyAlignment="1">
      <alignment horizontal="left"/>
    </xf>
    <xf numFmtId="0" fontId="0" fillId="5" borderId="5" xfId="0" applyFill="1" applyBorder="1" applyAlignment="1">
      <alignment horizontal="left"/>
    </xf>
    <xf numFmtId="0" fontId="3" fillId="4" borderId="7" xfId="1" applyFill="1" applyBorder="1" applyAlignment="1">
      <alignment vertical="center"/>
    </xf>
    <xf numFmtId="0" fontId="3" fillId="0" borderId="1" xfId="1" applyBorder="1" applyAlignment="1">
      <alignment horizontal="left"/>
    </xf>
    <xf numFmtId="0" fontId="3" fillId="0" borderId="9" xfId="1" applyBorder="1" applyAlignment="1">
      <alignment horizontal="left"/>
    </xf>
    <xf numFmtId="0" fontId="0" fillId="6" borderId="0" xfId="0" applyFill="1"/>
    <xf numFmtId="0" fontId="0" fillId="0" borderId="1" xfId="0" applyBorder="1"/>
    <xf numFmtId="0" fontId="1" fillId="3" borderId="1" xfId="0" applyFont="1" applyFill="1" applyBorder="1"/>
    <xf numFmtId="0" fontId="0" fillId="0" borderId="1" xfId="0" applyBorder="1" applyAlignment="1">
      <alignment horizontal="center"/>
    </xf>
    <xf numFmtId="0" fontId="0" fillId="0" borderId="9" xfId="0" applyBorder="1" applyAlignment="1">
      <alignment horizontal="center"/>
    </xf>
    <xf numFmtId="0" fontId="0" fillId="0" borderId="7" xfId="0" applyBorder="1" applyAlignment="1">
      <alignment horizontal="center" vertical="center"/>
    </xf>
    <xf numFmtId="0" fontId="3" fillId="0" borderId="1" xfId="1" applyBorder="1" applyAlignment="1">
      <alignment horizontal="center" vertical="center"/>
    </xf>
    <xf numFmtId="0" fontId="0" fillId="0" borderId="1" xfId="0" applyBorder="1" applyAlignment="1">
      <alignment horizontal="center" vertical="center"/>
    </xf>
    <xf numFmtId="0" fontId="0" fillId="5" borderId="8" xfId="0" applyFill="1" applyBorder="1" applyAlignment="1">
      <alignment horizontal="center" vertical="center"/>
    </xf>
    <xf numFmtId="0" fontId="3" fillId="0" borderId="9" xfId="1" applyBorder="1" applyAlignment="1">
      <alignment horizontal="center" vertical="center"/>
    </xf>
    <xf numFmtId="0" fontId="0" fillId="0" borderId="9" xfId="0" applyBorder="1" applyAlignment="1">
      <alignment horizontal="center" vertical="center"/>
    </xf>
    <xf numFmtId="0" fontId="0" fillId="5" borderId="5" xfId="0" applyFill="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 xfId="1" applyFill="1" applyBorder="1"/>
    <xf numFmtId="0" fontId="3" fillId="0" borderId="9" xfId="1" applyFill="1" applyBorder="1"/>
    <xf numFmtId="0" fontId="0" fillId="5" borderId="2" xfId="0" applyFill="1" applyBorder="1" applyAlignment="1">
      <alignment horizontal="center"/>
    </xf>
    <xf numFmtId="0" fontId="0" fillId="5" borderId="6" xfId="0" applyFill="1" applyBorder="1" applyAlignment="1">
      <alignment horizontal="center"/>
    </xf>
    <xf numFmtId="0" fontId="0" fillId="5" borderId="3" xfId="0" applyFill="1" applyBorder="1" applyAlignment="1">
      <alignment horizontal="center"/>
    </xf>
    <xf numFmtId="0" fontId="0" fillId="0" borderId="7" xfId="0" applyBorder="1" applyAlignment="1">
      <alignment horizontal="center"/>
    </xf>
    <xf numFmtId="0" fontId="0" fillId="0" borderId="4" xfId="0" applyBorder="1" applyAlignment="1">
      <alignment horizontal="center"/>
    </xf>
    <xf numFmtId="0" fontId="3" fillId="0" borderId="1" xfId="1" applyBorder="1" applyAlignment="1">
      <alignment horizontal="left" wrapText="1"/>
    </xf>
    <xf numFmtId="0" fontId="3" fillId="0" borderId="9" xfId="1" applyBorder="1" applyAlignment="1">
      <alignment horizontal="left" wrapText="1"/>
    </xf>
    <xf numFmtId="0" fontId="3" fillId="0" borderId="1" xfId="1" applyBorder="1"/>
    <xf numFmtId="0" fontId="3" fillId="0" borderId="9" xfId="1" applyBorder="1"/>
    <xf numFmtId="0" fontId="3" fillId="4" borderId="4" xfId="1" applyFill="1" applyBorder="1"/>
    <xf numFmtId="0" fontId="3" fillId="0" borderId="1" xfId="1" applyBorder="1" applyAlignment="1">
      <alignment horizontal="left" vertical="center"/>
    </xf>
    <xf numFmtId="0" fontId="0" fillId="0" borderId="1" xfId="0" applyBorder="1" applyAlignment="1">
      <alignment horizontal="left" vertical="center"/>
    </xf>
    <xf numFmtId="0" fontId="0" fillId="0" borderId="7" xfId="0" applyBorder="1" applyAlignment="1">
      <alignment horizontal="left" vertical="center"/>
    </xf>
    <xf numFmtId="0" fontId="3" fillId="0" borderId="1" xfId="1" applyFill="1" applyBorder="1" applyAlignment="1">
      <alignment vertical="center"/>
    </xf>
    <xf numFmtId="0" fontId="3" fillId="0" borderId="1" xfId="1" applyBorder="1" applyAlignment="1">
      <alignment vertical="center"/>
    </xf>
    <xf numFmtId="0" fontId="3" fillId="0" borderId="1" xfId="1" applyBorder="1" applyAlignment="1">
      <alignment vertical="center" wrapText="1"/>
    </xf>
    <xf numFmtId="0" fontId="0" fillId="5" borderId="10" xfId="0" applyFill="1" applyBorder="1" applyAlignment="1">
      <alignment horizontal="center"/>
    </xf>
    <xf numFmtId="0" fontId="0" fillId="0" borderId="11" xfId="0" applyBorder="1"/>
    <xf numFmtId="0" fontId="0" fillId="0" borderId="4" xfId="0" applyBorder="1" applyAlignment="1">
      <alignment horizontal="center" vertic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1" fillId="2" borderId="3" xfId="0" applyFont="1" applyFill="1" applyBorder="1" applyAlignment="1">
      <alignment horizontal="center"/>
    </xf>
    <xf numFmtId="0" fontId="3" fillId="0" borderId="1" xfId="2" applyFill="1" applyBorder="1" applyAlignment="1"/>
    <xf numFmtId="0" fontId="3" fillId="0" borderId="12" xfId="2" applyFill="1" applyBorder="1" applyAlignment="1"/>
  </cellXfs>
  <cellStyles count="3">
    <cellStyle name="Hipervínculo" xfId="1" builtinId="8"/>
    <cellStyle name="Hyperlink" xfId="2" xr:uid="{00000000-000B-0000-0000-000008000000}"/>
    <cellStyle name="Normal" xfId="0" builtinId="0"/>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0</xdr:row>
      <xdr:rowOff>133350</xdr:rowOff>
    </xdr:from>
    <xdr:to>
      <xdr:col>9</xdr:col>
      <xdr:colOff>95250</xdr:colOff>
      <xdr:row>40</xdr:row>
      <xdr:rowOff>19050</xdr:rowOff>
    </xdr:to>
    <xdr:pic>
      <xdr:nvPicPr>
        <xdr:cNvPr id="4" name="Imagen 3">
          <a:extLst>
            <a:ext uri="{FF2B5EF4-FFF2-40B4-BE49-F238E27FC236}">
              <a16:creationId xmlns:a16="http://schemas.microsoft.com/office/drawing/2014/main" id="{C6FC77DE-ADDA-761E-C114-7A74073978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400" y="133350"/>
          <a:ext cx="6372225" cy="7505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7A6FB-D75F-435E-89AC-0CFD0FC80301}">
  <dimension ref="A1:A412"/>
  <sheetViews>
    <sheetView zoomScaleNormal="100" workbookViewId="0">
      <selection activeCell="M28" sqref="M28"/>
    </sheetView>
  </sheetViews>
  <sheetFormatPr defaultColWidth="10.7109375" defaultRowHeight="15"/>
  <sheetData>
    <row r="1" s="32" customFormat="1"/>
    <row r="2" s="32" customFormat="1"/>
    <row r="3" s="32" customFormat="1"/>
    <row r="4" s="32" customFormat="1"/>
    <row r="5" s="32" customFormat="1"/>
    <row r="6" s="32" customFormat="1"/>
    <row r="7" s="32" customFormat="1"/>
    <row r="8" s="32" customFormat="1"/>
    <row r="9" s="32" customFormat="1"/>
    <row r="10" s="32" customFormat="1"/>
    <row r="11" s="32" customFormat="1"/>
    <row r="12" s="32" customFormat="1"/>
    <row r="13" s="32" customFormat="1"/>
    <row r="14" s="32" customFormat="1"/>
    <row r="15" s="32" customFormat="1"/>
    <row r="16" s="32" customFormat="1"/>
    <row r="17" s="32" customFormat="1"/>
    <row r="18" s="32" customFormat="1"/>
    <row r="19" s="32" customFormat="1"/>
    <row r="20" s="32" customFormat="1"/>
    <row r="21" s="32" customFormat="1"/>
    <row r="22" s="32" customFormat="1"/>
    <row r="23" s="32" customFormat="1"/>
    <row r="24" s="32" customFormat="1"/>
    <row r="25" s="32" customFormat="1"/>
    <row r="26" s="32" customFormat="1"/>
    <row r="27" s="32" customFormat="1"/>
    <row r="28" s="32" customFormat="1"/>
    <row r="29" s="32" customFormat="1"/>
    <row r="30" s="32" customFormat="1"/>
    <row r="31" s="32" customFormat="1"/>
    <row r="32" s="32" customFormat="1"/>
    <row r="33" s="32" customFormat="1"/>
    <row r="34" s="32" customFormat="1"/>
    <row r="35" s="32" customFormat="1"/>
    <row r="36" s="32" customFormat="1"/>
    <row r="37" s="32" customFormat="1"/>
    <row r="38" s="32" customFormat="1"/>
    <row r="39" s="32" customFormat="1"/>
    <row r="40" s="32" customFormat="1"/>
    <row r="41" s="32" customFormat="1"/>
    <row r="42" s="32" customFormat="1"/>
    <row r="43" s="32" customFormat="1"/>
    <row r="44" s="32" customFormat="1"/>
    <row r="45" s="32" customFormat="1"/>
    <row r="46" s="32" customFormat="1"/>
    <row r="47" s="32" customFormat="1"/>
    <row r="48" s="32" customFormat="1"/>
    <row r="49" s="32" customFormat="1"/>
    <row r="50" s="32" customFormat="1"/>
    <row r="51" s="32" customFormat="1"/>
    <row r="52" s="32" customFormat="1"/>
    <row r="53" s="32" customFormat="1"/>
    <row r="54" s="32" customFormat="1"/>
    <row r="55" s="32" customFormat="1"/>
    <row r="56" s="32" customFormat="1"/>
    <row r="57" s="32" customFormat="1"/>
    <row r="58" s="32" customFormat="1"/>
    <row r="59" s="32" customFormat="1"/>
    <row r="60" s="32" customFormat="1"/>
    <row r="61" s="32" customFormat="1"/>
    <row r="62" s="32" customFormat="1"/>
    <row r="63" s="32" customFormat="1"/>
    <row r="64" s="32" customFormat="1"/>
    <row r="65" s="32" customFormat="1"/>
    <row r="66" s="32" customFormat="1"/>
    <row r="67" s="32" customFormat="1"/>
    <row r="68" s="32" customFormat="1"/>
    <row r="69" s="32" customFormat="1"/>
    <row r="70" s="32" customFormat="1"/>
    <row r="71" s="32" customFormat="1"/>
    <row r="72" s="32" customFormat="1"/>
    <row r="73" s="32" customFormat="1"/>
    <row r="74" s="32" customFormat="1"/>
    <row r="75" s="32" customFormat="1"/>
    <row r="76" s="32" customFormat="1"/>
    <row r="77" s="32" customFormat="1"/>
    <row r="78" s="32" customFormat="1"/>
    <row r="79" s="32" customFormat="1"/>
    <row r="80" s="32" customFormat="1"/>
    <row r="81" s="32" customFormat="1"/>
    <row r="82" s="32" customFormat="1"/>
    <row r="83" s="32" customFormat="1"/>
    <row r="84" s="32" customFormat="1"/>
    <row r="85" s="32" customFormat="1"/>
    <row r="86" s="32" customFormat="1"/>
    <row r="87" s="32" customFormat="1"/>
    <row r="88" s="32" customFormat="1"/>
    <row r="89" s="32" customFormat="1"/>
    <row r="90" s="32" customFormat="1"/>
    <row r="91" s="32" customFormat="1"/>
    <row r="92" s="32" customFormat="1"/>
    <row r="93" s="32" customFormat="1"/>
    <row r="94" s="32" customFormat="1"/>
    <row r="95" s="32" customFormat="1"/>
    <row r="96" s="32" customFormat="1"/>
    <row r="97" s="32" customFormat="1"/>
    <row r="98" s="32" customFormat="1"/>
    <row r="99" s="32" customFormat="1"/>
    <row r="100" s="32" customFormat="1"/>
    <row r="101" s="32" customFormat="1"/>
    <row r="102" s="32" customFormat="1"/>
    <row r="103" s="32" customFormat="1"/>
    <row r="104" s="32" customFormat="1"/>
    <row r="105" s="32" customFormat="1"/>
    <row r="106" s="32" customFormat="1"/>
    <row r="107" s="32" customFormat="1"/>
    <row r="108" s="32" customFormat="1"/>
    <row r="109" s="32" customFormat="1"/>
    <row r="110" s="32" customFormat="1"/>
    <row r="111" s="32" customFormat="1"/>
    <row r="112" s="32" customFormat="1"/>
    <row r="113" s="32" customFormat="1"/>
    <row r="114" s="32" customFormat="1"/>
    <row r="115" s="32" customFormat="1"/>
    <row r="116" s="32" customFormat="1"/>
    <row r="117" s="32" customFormat="1"/>
    <row r="118" s="32" customFormat="1"/>
    <row r="119" s="32" customFormat="1"/>
    <row r="120" s="32" customFormat="1"/>
    <row r="121" s="32" customFormat="1"/>
    <row r="122" s="32" customFormat="1"/>
    <row r="123" s="32" customFormat="1"/>
    <row r="124" s="32" customFormat="1"/>
    <row r="125" s="32" customFormat="1"/>
    <row r="126" s="32" customFormat="1"/>
    <row r="127" s="32" customFormat="1"/>
    <row r="128" s="32" customFormat="1"/>
    <row r="129" s="32" customFormat="1"/>
    <row r="130" s="32" customFormat="1"/>
    <row r="131" s="32" customFormat="1"/>
    <row r="132" s="32" customFormat="1"/>
    <row r="133" s="32" customFormat="1"/>
    <row r="134" s="32" customFormat="1"/>
    <row r="135" s="32" customFormat="1"/>
    <row r="136" s="32" customFormat="1"/>
    <row r="137" s="32" customFormat="1"/>
    <row r="138" s="32" customFormat="1"/>
    <row r="139" s="32" customFormat="1"/>
    <row r="140" s="32" customFormat="1"/>
    <row r="141" s="32" customFormat="1"/>
    <row r="142" s="32" customFormat="1"/>
    <row r="143" s="32" customFormat="1"/>
    <row r="144" s="32" customFormat="1"/>
    <row r="145" s="32" customFormat="1"/>
    <row r="146" s="32" customFormat="1"/>
    <row r="147" s="32" customFormat="1"/>
    <row r="148" s="32" customFormat="1"/>
    <row r="149" s="32" customFormat="1"/>
    <row r="150" s="32" customFormat="1"/>
    <row r="151" s="32" customFormat="1"/>
    <row r="152" s="32" customFormat="1"/>
    <row r="153" s="32" customFormat="1"/>
    <row r="154" s="32" customFormat="1"/>
    <row r="155" s="32" customFormat="1"/>
    <row r="156" s="32" customFormat="1"/>
    <row r="157" s="32" customFormat="1"/>
    <row r="158" s="32" customFormat="1"/>
    <row r="159" s="32" customFormat="1"/>
    <row r="160" s="32" customFormat="1"/>
    <row r="161" s="32" customFormat="1"/>
    <row r="162" s="32" customFormat="1"/>
    <row r="163" s="32" customFormat="1"/>
    <row r="164" s="32" customFormat="1"/>
    <row r="165" s="32" customFormat="1"/>
    <row r="166" s="32" customFormat="1"/>
    <row r="167" s="32" customFormat="1"/>
    <row r="168" s="32" customFormat="1"/>
    <row r="169" s="32" customFormat="1"/>
    <row r="170" s="32" customFormat="1"/>
    <row r="171" s="32" customFormat="1"/>
    <row r="172" s="32" customFormat="1"/>
    <row r="173" s="32" customFormat="1"/>
    <row r="174" s="32" customFormat="1"/>
    <row r="175" s="32" customFormat="1"/>
    <row r="176" s="32" customFormat="1"/>
    <row r="177" s="32" customFormat="1"/>
    <row r="178" s="32" customFormat="1"/>
    <row r="179" s="32" customFormat="1"/>
    <row r="180" s="32" customFormat="1"/>
    <row r="181" s="32" customFormat="1"/>
    <row r="182" s="32" customFormat="1"/>
    <row r="183" s="32" customFormat="1"/>
    <row r="184" s="32" customFormat="1"/>
    <row r="185" s="32" customFormat="1"/>
    <row r="186" s="32" customFormat="1"/>
    <row r="187" s="32" customFormat="1"/>
    <row r="188" s="32" customFormat="1"/>
    <row r="189" s="32" customFormat="1"/>
    <row r="190" s="32" customFormat="1"/>
    <row r="191" s="32" customFormat="1"/>
    <row r="192" s="32" customFormat="1"/>
    <row r="193" s="32" customFormat="1"/>
    <row r="194" s="32" customFormat="1"/>
    <row r="195" s="32" customFormat="1"/>
    <row r="196" s="32" customFormat="1"/>
    <row r="197" s="32" customFormat="1"/>
    <row r="198" s="32" customFormat="1"/>
    <row r="199" s="32" customFormat="1"/>
    <row r="200" s="32" customFormat="1"/>
    <row r="201" s="32" customFormat="1"/>
    <row r="202" s="32" customFormat="1"/>
    <row r="203" s="32" customFormat="1"/>
    <row r="204" s="32" customFormat="1"/>
    <row r="205" s="32" customFormat="1"/>
    <row r="206" s="32" customFormat="1"/>
    <row r="207" s="32" customFormat="1"/>
    <row r="208" s="32" customFormat="1"/>
    <row r="209" s="32" customFormat="1"/>
    <row r="210" s="32" customFormat="1"/>
    <row r="211" s="32" customFormat="1"/>
    <row r="212" s="32" customFormat="1"/>
    <row r="213" s="32" customFormat="1"/>
    <row r="214" s="32" customFormat="1"/>
    <row r="215" s="32" customFormat="1"/>
    <row r="216" s="32" customFormat="1"/>
    <row r="217" s="32" customFormat="1"/>
    <row r="218" s="32" customFormat="1"/>
    <row r="219" s="32" customFormat="1"/>
    <row r="220" s="32" customFormat="1"/>
    <row r="221" s="32" customFormat="1"/>
    <row r="222" s="32" customFormat="1"/>
    <row r="223" s="32" customFormat="1"/>
    <row r="224" s="32" customFormat="1"/>
    <row r="225" s="32" customFormat="1"/>
    <row r="226" s="32" customFormat="1"/>
    <row r="227" s="32" customFormat="1"/>
    <row r="228" s="32" customFormat="1"/>
    <row r="229" s="32" customFormat="1"/>
    <row r="230" s="32" customFormat="1"/>
    <row r="231" s="32" customFormat="1"/>
    <row r="232" s="32" customFormat="1"/>
    <row r="233" s="32" customFormat="1"/>
    <row r="234" s="32" customFormat="1"/>
    <row r="235" s="32" customFormat="1"/>
    <row r="236" s="32" customFormat="1"/>
    <row r="237" s="32" customFormat="1"/>
    <row r="238" s="32" customFormat="1"/>
    <row r="239" s="32" customFormat="1"/>
    <row r="240" s="32" customFormat="1"/>
    <row r="241" s="32" customFormat="1"/>
    <row r="242" s="32" customFormat="1"/>
    <row r="243" s="32" customFormat="1"/>
    <row r="244" s="32" customFormat="1"/>
    <row r="245" s="32" customFormat="1"/>
    <row r="246" s="32" customFormat="1"/>
    <row r="247" s="32" customFormat="1"/>
    <row r="248" s="32" customFormat="1"/>
    <row r="249" s="32" customFormat="1"/>
    <row r="250" s="32" customFormat="1"/>
    <row r="251" s="32" customFormat="1"/>
    <row r="252" s="32" customFormat="1"/>
    <row r="253" s="32" customFormat="1"/>
    <row r="254" s="32" customFormat="1"/>
    <row r="255" s="32" customFormat="1"/>
    <row r="256" s="32" customFormat="1"/>
    <row r="257" s="32" customFormat="1"/>
    <row r="258" s="32" customFormat="1"/>
    <row r="259" s="32" customFormat="1"/>
    <row r="260" s="32" customFormat="1"/>
    <row r="261" s="32" customFormat="1"/>
    <row r="262" s="32" customFormat="1"/>
    <row r="263" s="32" customFormat="1"/>
    <row r="264" s="32" customFormat="1"/>
    <row r="265" s="32" customFormat="1"/>
    <row r="266" s="32" customFormat="1"/>
    <row r="267" s="32" customFormat="1"/>
    <row r="268" s="32" customFormat="1"/>
    <row r="269" s="32" customFormat="1"/>
    <row r="270" s="32" customFormat="1"/>
    <row r="271" s="32" customFormat="1"/>
    <row r="272" s="32" customFormat="1"/>
    <row r="273" s="32" customFormat="1"/>
    <row r="274" s="32" customFormat="1"/>
    <row r="275" s="32" customFormat="1"/>
    <row r="276" s="32" customFormat="1"/>
    <row r="277" s="32" customFormat="1"/>
    <row r="278" s="32" customFormat="1"/>
    <row r="279" s="32" customFormat="1"/>
    <row r="280" s="32" customFormat="1"/>
    <row r="281" s="32" customFormat="1"/>
    <row r="282" s="32" customFormat="1"/>
    <row r="283" s="32" customFormat="1"/>
    <row r="284" s="32" customFormat="1"/>
    <row r="285" s="32" customFormat="1"/>
    <row r="286" s="32" customFormat="1"/>
    <row r="287" s="32" customFormat="1"/>
    <row r="288" s="32" customFormat="1"/>
    <row r="289" s="32" customFormat="1"/>
    <row r="290" s="32" customFormat="1"/>
    <row r="291" s="32" customFormat="1"/>
    <row r="292" s="32" customFormat="1"/>
    <row r="293" s="32" customFormat="1"/>
    <row r="294" s="32" customFormat="1"/>
    <row r="295" s="32" customFormat="1"/>
    <row r="296" s="32" customFormat="1"/>
    <row r="297" s="32" customFormat="1"/>
    <row r="298" s="32" customFormat="1"/>
    <row r="299" s="32" customFormat="1"/>
    <row r="300" s="32" customFormat="1"/>
    <row r="301" s="32" customFormat="1"/>
    <row r="302" s="32" customFormat="1"/>
    <row r="303" s="32" customFormat="1"/>
    <row r="304" s="32" customFormat="1"/>
    <row r="305" s="32" customFormat="1"/>
    <row r="306" s="32" customFormat="1"/>
    <row r="307" s="32" customFormat="1"/>
    <row r="308" s="32" customFormat="1"/>
    <row r="309" s="32" customFormat="1"/>
    <row r="310" s="32" customFormat="1"/>
    <row r="311" s="32" customFormat="1"/>
    <row r="312" s="32" customFormat="1"/>
    <row r="313" s="32" customFormat="1"/>
    <row r="314" s="32" customFormat="1"/>
    <row r="315" s="32" customFormat="1"/>
    <row r="316" s="32" customFormat="1"/>
    <row r="317" s="32" customFormat="1"/>
    <row r="318" s="32" customFormat="1"/>
    <row r="319" s="32" customFormat="1"/>
    <row r="320" s="32" customFormat="1"/>
    <row r="321" s="32" customFormat="1"/>
    <row r="322" s="32" customFormat="1"/>
    <row r="323" s="32" customFormat="1"/>
    <row r="324" s="32" customFormat="1"/>
    <row r="325" s="32" customFormat="1"/>
    <row r="326" s="32" customFormat="1"/>
    <row r="327" s="32" customFormat="1"/>
    <row r="328" s="32" customFormat="1"/>
    <row r="329" s="32" customFormat="1"/>
    <row r="330" s="32" customFormat="1"/>
    <row r="331" s="32" customFormat="1"/>
    <row r="332" s="32" customFormat="1"/>
    <row r="333" s="32" customFormat="1"/>
    <row r="334" s="32" customFormat="1"/>
    <row r="335" s="32" customFormat="1"/>
    <row r="336" s="32" customFormat="1"/>
    <row r="337" s="32" customFormat="1"/>
    <row r="338" s="32" customFormat="1"/>
    <row r="339" s="32" customFormat="1"/>
    <row r="340" s="32" customFormat="1"/>
    <row r="341" s="32" customFormat="1"/>
    <row r="342" s="32" customFormat="1"/>
    <row r="343" s="32" customFormat="1"/>
    <row r="344" s="32" customFormat="1"/>
    <row r="345" s="32" customFormat="1"/>
    <row r="346" s="32" customFormat="1"/>
    <row r="347" s="32" customFormat="1"/>
    <row r="348" s="32" customFormat="1"/>
    <row r="349" s="32" customFormat="1"/>
    <row r="350" s="32" customFormat="1"/>
    <row r="351" s="32" customFormat="1"/>
    <row r="352" s="32" customFormat="1"/>
    <row r="353" s="32" customFormat="1"/>
    <row r="354" s="32" customFormat="1"/>
    <row r="355" s="32" customFormat="1"/>
    <row r="356" s="32" customFormat="1"/>
    <row r="357" s="32" customFormat="1"/>
    <row r="358" s="32" customFormat="1"/>
    <row r="359" s="32" customFormat="1"/>
    <row r="360" s="32" customFormat="1"/>
    <row r="361" s="32" customFormat="1"/>
    <row r="362" s="32" customFormat="1"/>
    <row r="363" s="32" customFormat="1"/>
    <row r="364" s="32" customFormat="1"/>
    <row r="365" s="32" customFormat="1"/>
    <row r="366" s="32" customFormat="1"/>
    <row r="367" s="32" customFormat="1"/>
    <row r="368" s="32" customFormat="1"/>
    <row r="369" s="32" customFormat="1"/>
    <row r="370" s="32" customFormat="1"/>
    <row r="371" s="32" customFormat="1"/>
    <row r="372" s="32" customFormat="1"/>
    <row r="373" s="32" customFormat="1"/>
    <row r="374" s="32" customFormat="1"/>
    <row r="375" s="32" customFormat="1"/>
    <row r="376" s="32" customFormat="1"/>
    <row r="377" s="32" customFormat="1"/>
    <row r="378" s="32" customFormat="1"/>
    <row r="379" s="32" customFormat="1"/>
    <row r="380" s="32" customFormat="1"/>
    <row r="381" s="32" customFormat="1"/>
    <row r="382" s="32" customFormat="1"/>
    <row r="383" s="32" customFormat="1"/>
    <row r="384" s="32" customFormat="1"/>
    <row r="385" s="32" customFormat="1"/>
    <row r="386" s="32" customFormat="1"/>
    <row r="387" s="32" customFormat="1"/>
    <row r="388" s="32" customFormat="1"/>
    <row r="389" s="32" customFormat="1"/>
    <row r="390" s="32" customFormat="1"/>
    <row r="391" s="32" customFormat="1"/>
    <row r="392" s="32" customFormat="1"/>
    <row r="393" s="32" customFormat="1"/>
    <row r="394" s="32" customFormat="1"/>
    <row r="395" s="32" customFormat="1"/>
    <row r="396" s="32" customFormat="1"/>
    <row r="397" s="32" customFormat="1"/>
    <row r="398" s="32" customFormat="1"/>
    <row r="399" s="32" customFormat="1"/>
    <row r="400" s="32" customFormat="1"/>
    <row r="401" s="32" customFormat="1"/>
    <row r="402" s="32" customFormat="1"/>
    <row r="403" s="32" customFormat="1"/>
    <row r="404" s="32" customFormat="1"/>
    <row r="405" s="32" customFormat="1"/>
    <row r="406" s="32" customFormat="1"/>
    <row r="407" s="32" customFormat="1"/>
    <row r="408" s="32" customFormat="1"/>
    <row r="409" s="32" customFormat="1"/>
    <row r="410" s="32" customFormat="1"/>
    <row r="411" s="32" customFormat="1"/>
    <row r="412" s="32" customForma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B27BC-0771-4BFB-8CD0-884B899BEC89}">
  <dimension ref="A1:B2"/>
  <sheetViews>
    <sheetView workbookViewId="0"/>
  </sheetViews>
  <sheetFormatPr defaultColWidth="10.7109375" defaultRowHeight="15"/>
  <cols>
    <col min="1" max="1" width="24.85546875" customWidth="1"/>
    <col min="2" max="2" width="79.42578125" customWidth="1"/>
  </cols>
  <sheetData>
    <row r="1" spans="1:2">
      <c r="A1" s="8" t="s">
        <v>0</v>
      </c>
      <c r="B1" s="9" t="s">
        <v>1</v>
      </c>
    </row>
    <row r="2" spans="1:2" ht="48" customHeight="1" thickBot="1">
      <c r="A2" s="6" t="s">
        <v>2</v>
      </c>
      <c r="B2" s="7" t="s">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D1838-3EE5-4897-BC82-7596D2949E39}">
  <dimension ref="A1:D11"/>
  <sheetViews>
    <sheetView tabSelected="1" workbookViewId="0">
      <selection sqref="A1:D1"/>
    </sheetView>
  </sheetViews>
  <sheetFormatPr defaultColWidth="10.7109375" defaultRowHeight="15"/>
  <cols>
    <col min="1" max="1" width="23.28515625" customWidth="1"/>
    <col min="2" max="2" width="73.28515625" customWidth="1"/>
    <col min="3" max="3" width="13.140625" customWidth="1"/>
    <col min="4" max="4" width="27" customWidth="1"/>
  </cols>
  <sheetData>
    <row r="1" spans="1:4">
      <c r="A1" s="67" t="s">
        <v>4</v>
      </c>
      <c r="B1" s="68"/>
      <c r="C1" s="68"/>
      <c r="D1" s="69"/>
    </row>
    <row r="2" spans="1:4">
      <c r="A2" s="11" t="s">
        <v>0</v>
      </c>
      <c r="B2" s="1" t="s">
        <v>5</v>
      </c>
      <c r="C2" s="34" t="s">
        <v>6</v>
      </c>
      <c r="D2" s="14" t="s">
        <v>7</v>
      </c>
    </row>
    <row r="3" spans="1:4">
      <c r="A3" s="29" t="s">
        <v>8</v>
      </c>
      <c r="B3" s="2" t="s">
        <v>9</v>
      </c>
      <c r="C3" s="10" t="s">
        <v>10</v>
      </c>
      <c r="D3" s="15" t="s">
        <v>11</v>
      </c>
    </row>
    <row r="4" spans="1:4" ht="30">
      <c r="A4" s="29" t="s">
        <v>12</v>
      </c>
      <c r="B4" s="4" t="s">
        <v>13</v>
      </c>
      <c r="C4" s="10" t="s">
        <v>10</v>
      </c>
      <c r="D4" s="15" t="s">
        <v>11</v>
      </c>
    </row>
    <row r="5" spans="1:4" ht="29.25" customHeight="1">
      <c r="A5" s="29" t="s">
        <v>14</v>
      </c>
      <c r="B5" s="4" t="s">
        <v>15</v>
      </c>
      <c r="C5" s="10" t="s">
        <v>16</v>
      </c>
      <c r="D5" s="15" t="s">
        <v>2</v>
      </c>
    </row>
    <row r="6" spans="1:4" ht="29.25" customHeight="1">
      <c r="A6" s="29" t="s">
        <v>17</v>
      </c>
      <c r="B6" s="4" t="s">
        <v>18</v>
      </c>
      <c r="C6" s="10" t="s">
        <v>16</v>
      </c>
      <c r="D6" s="15" t="s">
        <v>2</v>
      </c>
    </row>
    <row r="7" spans="1:4" ht="33" customHeight="1">
      <c r="A7" s="29" t="s">
        <v>19</v>
      </c>
      <c r="B7" s="3" t="s">
        <v>20</v>
      </c>
      <c r="C7" s="10" t="s">
        <v>16</v>
      </c>
      <c r="D7" s="15" t="s">
        <v>2</v>
      </c>
    </row>
    <row r="8" spans="1:4">
      <c r="A8" s="29" t="s">
        <v>21</v>
      </c>
      <c r="B8" s="2" t="s">
        <v>22</v>
      </c>
      <c r="C8" s="10" t="s">
        <v>16</v>
      </c>
      <c r="D8" s="15" t="s">
        <v>2</v>
      </c>
    </row>
    <row r="9" spans="1:4">
      <c r="A9" s="29" t="s">
        <v>23</v>
      </c>
      <c r="B9" s="2" t="s">
        <v>24</v>
      </c>
      <c r="C9" s="10" t="s">
        <v>16</v>
      </c>
      <c r="D9" s="15" t="s">
        <v>2</v>
      </c>
    </row>
    <row r="10" spans="1:4">
      <c r="A10" s="29" t="s">
        <v>25</v>
      </c>
      <c r="B10" s="2" t="s">
        <v>26</v>
      </c>
      <c r="C10" s="10" t="s">
        <v>16</v>
      </c>
      <c r="D10" s="15" t="s">
        <v>2</v>
      </c>
    </row>
    <row r="11" spans="1:4" ht="15.75" thickBot="1">
      <c r="A11" s="57" t="s">
        <v>27</v>
      </c>
      <c r="B11" s="12" t="s">
        <v>28</v>
      </c>
      <c r="C11" s="17" t="s">
        <v>16</v>
      </c>
      <c r="D11" s="16" t="s">
        <v>2</v>
      </c>
    </row>
  </sheetData>
  <mergeCells count="1">
    <mergeCell ref="A1:D1"/>
  </mergeCells>
  <hyperlinks>
    <hyperlink ref="A3" location="Estudiante!A1" display="Estudiante" xr:uid="{9D77BE74-7BF7-438A-96E3-DED704F1E8DB}"/>
    <hyperlink ref="A4" location="'Sesion Entrenamiento'!A1" display="Sesión de entrenamiento" xr:uid="{8A6977CA-1DE4-48D1-A889-2BF97FA92596}"/>
    <hyperlink ref="A10" location="'Respuesta Estimulo'!A1" display="Respuesta Estimulo" xr:uid="{85336C4C-099B-4A83-B4F8-43D74FA96BEE}"/>
    <hyperlink ref="A5" location="'Tutorial Tarea'!A1" display="Tutorial" xr:uid="{54F96BC7-6A51-4CF5-8677-807B56CDF883}"/>
    <hyperlink ref="A7" location="Tarea!A1" display="Tarea" xr:uid="{374856E5-7078-4C38-A871-93F5A3D89CD7}"/>
    <hyperlink ref="A8" location="Nivel!A1" display="Nivel" xr:uid="{415EBADD-9C2D-41C3-929F-860E26FD0D1D}"/>
    <hyperlink ref="A9" location="Estimulo!A1" display="Estímulo" xr:uid="{1FFBFA97-325F-45CA-A257-EE9827CE056A}"/>
    <hyperlink ref="A11" location="'Opción Respuesta'!A1" display="Opción de Respuesta" xr:uid="{49A0FB3A-E89A-485F-92DA-606157C9E228}"/>
    <hyperlink ref="A6" location="'Tutorial Nivel'!A1" display="Tutorial" xr:uid="{0654E5C9-5D80-422D-9F91-849F1A7C4217}"/>
  </hyperlink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3BEAC-D757-4E41-B127-4BA69C7AD0F0}">
  <dimension ref="A1:F24"/>
  <sheetViews>
    <sheetView zoomScaleNormal="100" workbookViewId="0">
      <selection activeCell="E18" sqref="E18"/>
    </sheetView>
  </sheetViews>
  <sheetFormatPr defaultColWidth="10.7109375" defaultRowHeight="15"/>
  <cols>
    <col min="1" max="1" width="12.42578125" customWidth="1"/>
    <col min="2" max="2" width="20" customWidth="1"/>
    <col min="3" max="3" width="18.28515625" customWidth="1"/>
    <col min="4" max="4" width="30.140625" customWidth="1"/>
    <col min="5" max="5" width="148.42578125" customWidth="1"/>
    <col min="6" max="6" width="36.85546875" customWidth="1"/>
    <col min="7" max="7" width="19.42578125" customWidth="1"/>
    <col min="8" max="8" width="13.85546875" customWidth="1"/>
    <col min="9" max="9" width="14.140625" customWidth="1"/>
  </cols>
  <sheetData>
    <row r="1" spans="1:6">
      <c r="A1" s="23" t="s">
        <v>29</v>
      </c>
      <c r="B1" s="24" t="s">
        <v>19</v>
      </c>
      <c r="C1" s="24" t="s">
        <v>30</v>
      </c>
      <c r="D1" s="24" t="s">
        <v>31</v>
      </c>
      <c r="E1" s="24" t="s">
        <v>32</v>
      </c>
      <c r="F1" s="18" t="s">
        <v>33</v>
      </c>
    </row>
    <row r="2" spans="1:6" ht="72.75" customHeight="1">
      <c r="A2" s="37">
        <v>1</v>
      </c>
      <c r="B2" s="38" t="str">
        <f>Tarea!B2</f>
        <v>El Suelo es Lava</v>
      </c>
      <c r="C2" s="39">
        <v>1</v>
      </c>
      <c r="D2" s="39">
        <v>20</v>
      </c>
      <c r="E2" s="44" t="s">
        <v>34</v>
      </c>
      <c r="F2" s="40" t="str">
        <f>"Mensaje Tarea - "&amp;B2&amp;" - "&amp;C2</f>
        <v>Mensaje Tarea - El Suelo es Lava - 1</v>
      </c>
    </row>
    <row r="3" spans="1:6" ht="60">
      <c r="A3" s="37">
        <v>2</v>
      </c>
      <c r="B3" s="38" t="str">
        <f>Tarea!B2</f>
        <v>El Suelo es Lava</v>
      </c>
      <c r="C3" s="39">
        <v>2</v>
      </c>
      <c r="D3" s="39">
        <v>45</v>
      </c>
      <c r="E3" s="44" t="s">
        <v>35</v>
      </c>
      <c r="F3" s="40" t="str">
        <f t="shared" ref="F3:F24" si="0">"Mensaje Tarea - "&amp;B3&amp;" - "&amp;C3</f>
        <v>Mensaje Tarea - El Suelo es Lava - 2</v>
      </c>
    </row>
    <row r="4" spans="1:6" ht="30">
      <c r="A4" s="37">
        <v>3</v>
      </c>
      <c r="B4" s="38" t="str">
        <f>Tarea!B2</f>
        <v>El Suelo es Lava</v>
      </c>
      <c r="C4" s="39">
        <v>3</v>
      </c>
      <c r="D4" s="39">
        <v>25</v>
      </c>
      <c r="E4" s="44" t="s">
        <v>36</v>
      </c>
      <c r="F4" s="40" t="str">
        <f t="shared" si="0"/>
        <v>Mensaje Tarea - El Suelo es Lava - 3</v>
      </c>
    </row>
    <row r="5" spans="1:6" ht="30">
      <c r="A5" s="37">
        <v>4</v>
      </c>
      <c r="B5" s="38" t="str">
        <f>Tarea!B2</f>
        <v>El Suelo es Lava</v>
      </c>
      <c r="C5" s="39">
        <v>4</v>
      </c>
      <c r="D5" s="39">
        <v>15</v>
      </c>
      <c r="E5" s="44" t="s">
        <v>37</v>
      </c>
      <c r="F5" s="40" t="str">
        <f t="shared" si="0"/>
        <v>Mensaje Tarea - El Suelo es Lava - 4</v>
      </c>
    </row>
    <row r="6" spans="1:6" ht="30">
      <c r="A6" s="37">
        <v>5</v>
      </c>
      <c r="B6" s="38" t="str">
        <f>Tarea!B2</f>
        <v>El Suelo es Lava</v>
      </c>
      <c r="C6" s="39">
        <v>5</v>
      </c>
      <c r="D6" s="39">
        <v>15</v>
      </c>
      <c r="E6" s="44" t="s">
        <v>38</v>
      </c>
      <c r="F6" s="40" t="str">
        <f t="shared" si="0"/>
        <v>Mensaje Tarea - El Suelo es Lava - 5</v>
      </c>
    </row>
    <row r="7" spans="1:6">
      <c r="A7" s="37">
        <v>6</v>
      </c>
      <c r="B7" s="38" t="str">
        <f>Tarea!B2</f>
        <v>El Suelo es Lava</v>
      </c>
      <c r="C7" s="39">
        <v>6</v>
      </c>
      <c r="D7" s="39">
        <v>15</v>
      </c>
      <c r="E7" s="39" t="s">
        <v>39</v>
      </c>
      <c r="F7" s="40" t="str">
        <f t="shared" si="0"/>
        <v>Mensaje Tarea - El Suelo es Lava - 6</v>
      </c>
    </row>
    <row r="8" spans="1:6" ht="30">
      <c r="A8" s="37">
        <v>7</v>
      </c>
      <c r="B8" s="38" t="str">
        <f>Tarea!B3</f>
        <v>Los Secretos del Chef</v>
      </c>
      <c r="C8" s="39">
        <v>1</v>
      </c>
      <c r="D8" s="39">
        <v>10</v>
      </c>
      <c r="E8" s="44" t="s">
        <v>40</v>
      </c>
      <c r="F8" s="40" t="str">
        <f t="shared" si="0"/>
        <v>Mensaje Tarea - Los Secretos del Chef - 1</v>
      </c>
    </row>
    <row r="9" spans="1:6" ht="30">
      <c r="A9" s="37">
        <v>8</v>
      </c>
      <c r="B9" s="38" t="str">
        <f>Tarea!B3</f>
        <v>Los Secretos del Chef</v>
      </c>
      <c r="C9" s="39">
        <v>2</v>
      </c>
      <c r="D9" s="39">
        <v>10</v>
      </c>
      <c r="E9" s="44" t="s">
        <v>41</v>
      </c>
      <c r="F9" s="40" t="str">
        <f t="shared" si="0"/>
        <v>Mensaje Tarea - Los Secretos del Chef - 2</v>
      </c>
    </row>
    <row r="10" spans="1:6" ht="30">
      <c r="A10" s="37">
        <v>9</v>
      </c>
      <c r="B10" s="38" t="str">
        <f>Tarea!B3</f>
        <v>Los Secretos del Chef</v>
      </c>
      <c r="C10" s="39">
        <v>3</v>
      </c>
      <c r="D10" s="39">
        <v>10</v>
      </c>
      <c r="E10" s="44" t="s">
        <v>42</v>
      </c>
      <c r="F10" s="40" t="str">
        <f t="shared" si="0"/>
        <v>Mensaje Tarea - Los Secretos del Chef - 3</v>
      </c>
    </row>
    <row r="11" spans="1:6" ht="30">
      <c r="A11" s="37">
        <v>10</v>
      </c>
      <c r="B11" s="38" t="str">
        <f>Tarea!B3</f>
        <v>Los Secretos del Chef</v>
      </c>
      <c r="C11" s="39">
        <v>4</v>
      </c>
      <c r="D11" s="39">
        <v>5</v>
      </c>
      <c r="E11" s="44" t="s">
        <v>43</v>
      </c>
      <c r="F11" s="40" t="str">
        <f t="shared" si="0"/>
        <v>Mensaje Tarea - Los Secretos del Chef - 4</v>
      </c>
    </row>
    <row r="12" spans="1:6" ht="30">
      <c r="A12" s="37">
        <v>11</v>
      </c>
      <c r="B12" s="38" t="str">
        <f>Tarea!B3</f>
        <v>Los Secretos del Chef</v>
      </c>
      <c r="C12" s="39">
        <v>5</v>
      </c>
      <c r="D12" s="39">
        <v>10</v>
      </c>
      <c r="E12" s="44" t="s">
        <v>44</v>
      </c>
      <c r="F12" s="40" t="str">
        <f t="shared" si="0"/>
        <v>Mensaje Tarea - Los Secretos del Chef - 5</v>
      </c>
    </row>
    <row r="13" spans="1:6">
      <c r="A13" s="37">
        <v>12</v>
      </c>
      <c r="B13" s="38" t="str">
        <f>Tarea!B3</f>
        <v>Los Secretos del Chef</v>
      </c>
      <c r="C13" s="39">
        <v>6</v>
      </c>
      <c r="D13" s="39">
        <v>5</v>
      </c>
      <c r="E13" s="39" t="s">
        <v>45</v>
      </c>
      <c r="F13" s="40" t="str">
        <f t="shared" si="0"/>
        <v>Mensaje Tarea - Los Secretos del Chef - 6</v>
      </c>
    </row>
    <row r="14" spans="1:6" ht="45">
      <c r="A14" s="37">
        <v>13</v>
      </c>
      <c r="B14" s="38" t="str">
        <f>Tarea!B3</f>
        <v>Los Secretos del Chef</v>
      </c>
      <c r="C14" s="39">
        <v>7</v>
      </c>
      <c r="D14" s="39">
        <v>10</v>
      </c>
      <c r="E14" s="44" t="s">
        <v>46</v>
      </c>
      <c r="F14" s="40" t="str">
        <f t="shared" si="0"/>
        <v>Mensaje Tarea - Los Secretos del Chef - 7</v>
      </c>
    </row>
    <row r="15" spans="1:6" ht="30">
      <c r="A15" s="37">
        <v>14</v>
      </c>
      <c r="B15" s="38" t="str">
        <f>Tarea!B3</f>
        <v>Los Secretos del Chef</v>
      </c>
      <c r="C15" s="39">
        <v>8</v>
      </c>
      <c r="D15" s="39">
        <v>15</v>
      </c>
      <c r="E15" s="44" t="s">
        <v>47</v>
      </c>
      <c r="F15" s="40" t="str">
        <f t="shared" si="0"/>
        <v>Mensaje Tarea - Los Secretos del Chef - 8</v>
      </c>
    </row>
    <row r="16" spans="1:6" ht="60">
      <c r="A16" s="37">
        <v>15</v>
      </c>
      <c r="B16" s="38" t="str">
        <f>Tarea!B4</f>
        <v>Clonacion</v>
      </c>
      <c r="C16" s="39">
        <v>1</v>
      </c>
      <c r="D16" s="39">
        <v>30</v>
      </c>
      <c r="E16" s="44" t="s">
        <v>48</v>
      </c>
      <c r="F16" s="40" t="str">
        <f t="shared" si="0"/>
        <v>Mensaje Tarea - Clonacion - 1</v>
      </c>
    </row>
    <row r="17" spans="1:6" ht="30">
      <c r="A17" s="37">
        <v>16</v>
      </c>
      <c r="B17" s="38" t="str">
        <f>Tarea!B4</f>
        <v>Clonacion</v>
      </c>
      <c r="C17" s="39">
        <v>2</v>
      </c>
      <c r="D17" s="39">
        <v>30</v>
      </c>
      <c r="E17" s="44" t="s">
        <v>49</v>
      </c>
      <c r="F17" s="40" t="str">
        <f t="shared" si="0"/>
        <v>Mensaje Tarea - Clonacion - 2</v>
      </c>
    </row>
    <row r="18" spans="1:6" ht="45">
      <c r="A18" s="37">
        <v>17</v>
      </c>
      <c r="B18" s="38" t="str">
        <f>Tarea!B4</f>
        <v>Clonacion</v>
      </c>
      <c r="C18" s="39">
        <v>3</v>
      </c>
      <c r="D18" s="39">
        <v>15</v>
      </c>
      <c r="E18" s="44" t="s">
        <v>50</v>
      </c>
      <c r="F18" s="40" t="str">
        <f t="shared" si="0"/>
        <v>Mensaje Tarea - Clonacion - 3</v>
      </c>
    </row>
    <row r="19" spans="1:6">
      <c r="A19" s="37">
        <v>18</v>
      </c>
      <c r="B19" s="38" t="str">
        <f>Tarea!B5</f>
        <v>Todo en Orden</v>
      </c>
      <c r="C19" s="39">
        <v>1</v>
      </c>
      <c r="D19" s="39">
        <v>10</v>
      </c>
      <c r="E19" s="39" t="s">
        <v>51</v>
      </c>
      <c r="F19" s="40" t="str">
        <f t="shared" si="0"/>
        <v>Mensaje Tarea - Todo en Orden - 1</v>
      </c>
    </row>
    <row r="20" spans="1:6" ht="30">
      <c r="A20" s="37">
        <v>19</v>
      </c>
      <c r="B20" s="38" t="str">
        <f>Tarea!B5</f>
        <v>Todo en Orden</v>
      </c>
      <c r="C20" s="39">
        <v>2</v>
      </c>
      <c r="D20" s="39">
        <v>30</v>
      </c>
      <c r="E20" s="44" t="s">
        <v>52</v>
      </c>
      <c r="F20" s="40" t="str">
        <f t="shared" si="0"/>
        <v>Mensaje Tarea - Todo en Orden - 2</v>
      </c>
    </row>
    <row r="21" spans="1:6" ht="45">
      <c r="A21" s="37">
        <v>20</v>
      </c>
      <c r="B21" s="38" t="str">
        <f>Tarea!B5</f>
        <v>Todo en Orden</v>
      </c>
      <c r="C21" s="39">
        <v>3</v>
      </c>
      <c r="D21" s="39">
        <v>15</v>
      </c>
      <c r="E21" s="44" t="s">
        <v>53</v>
      </c>
      <c r="F21" s="40" t="str">
        <f t="shared" si="0"/>
        <v>Mensaje Tarea - Todo en Orden - 3</v>
      </c>
    </row>
    <row r="22" spans="1:6">
      <c r="A22" s="37">
        <v>21</v>
      </c>
      <c r="B22" s="38" t="str">
        <f>Tarea!B5</f>
        <v>Todo en Orden</v>
      </c>
      <c r="C22" s="39">
        <v>4</v>
      </c>
      <c r="D22" s="39">
        <v>15</v>
      </c>
      <c r="E22" s="44" t="s">
        <v>54</v>
      </c>
      <c r="F22" s="40" t="str">
        <f t="shared" si="0"/>
        <v>Mensaje Tarea - Todo en Orden - 4</v>
      </c>
    </row>
    <row r="23" spans="1:6">
      <c r="A23" s="37">
        <v>22</v>
      </c>
      <c r="B23" s="38" t="str">
        <f>Tarea!B5</f>
        <v>Todo en Orden</v>
      </c>
      <c r="C23" s="39">
        <v>5</v>
      </c>
      <c r="D23" s="39">
        <v>20</v>
      </c>
      <c r="E23" s="39" t="s">
        <v>55</v>
      </c>
      <c r="F23" s="40" t="str">
        <f t="shared" si="0"/>
        <v>Mensaje Tarea - Todo en Orden - 5</v>
      </c>
    </row>
    <row r="24" spans="1:6" ht="35.25" customHeight="1" thickBot="1">
      <c r="A24" s="66">
        <v>23</v>
      </c>
      <c r="B24" s="41" t="str">
        <f>Tarea!B5</f>
        <v>Todo en Orden</v>
      </c>
      <c r="C24" s="42">
        <v>6</v>
      </c>
      <c r="D24" s="42">
        <v>20</v>
      </c>
      <c r="E24" s="45" t="s">
        <v>56</v>
      </c>
      <c r="F24" s="43" t="str">
        <f t="shared" si="0"/>
        <v>Mensaje Tarea - Todo en Orden - 6</v>
      </c>
    </row>
  </sheetData>
  <phoneticPr fontId="2" type="noConversion"/>
  <hyperlinks>
    <hyperlink ref="B8:B15" location="Tarea!B3" display="Tarea!B3" xr:uid="{1B7FC5FF-5A01-417C-82FA-D2F70A389C46}"/>
    <hyperlink ref="B16:B18" location="Tarea!B4" display="Tarea!B4" xr:uid="{77F7E561-6906-4278-8636-27397562A3FE}"/>
    <hyperlink ref="B19:B23" location="Tarea!B5" display="Tarea!B5" xr:uid="{680119A5-F518-421B-A79E-DED1A2B68501}"/>
    <hyperlink ref="B24" location="Tarea!B5" display="Tarea!B5" xr:uid="{946226CB-0DCF-4758-9CDF-CD13E7F6EE2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3B76E-EAEE-42F3-845B-033EA141440A}">
  <dimension ref="A1:C5"/>
  <sheetViews>
    <sheetView zoomScale="120" zoomScaleNormal="120" workbookViewId="0">
      <selection activeCell="B16" sqref="B16"/>
    </sheetView>
  </sheetViews>
  <sheetFormatPr defaultColWidth="10.7109375" defaultRowHeight="15"/>
  <cols>
    <col min="1" max="1" width="12.7109375" customWidth="1"/>
    <col min="2" max="2" width="19.5703125" customWidth="1"/>
    <col min="3" max="3" width="27.5703125" customWidth="1"/>
  </cols>
  <sheetData>
    <row r="1" spans="1:3">
      <c r="A1" s="23" t="s">
        <v>29</v>
      </c>
      <c r="B1" s="24" t="s">
        <v>0</v>
      </c>
      <c r="C1" s="18" t="s">
        <v>33</v>
      </c>
    </row>
    <row r="2" spans="1:3">
      <c r="A2" s="19">
        <v>1</v>
      </c>
      <c r="B2" s="5" t="s">
        <v>57</v>
      </c>
      <c r="C2" s="20" t="str">
        <f>"Tarea "&amp;A2&amp;" - "&amp;B2</f>
        <v>Tarea 1 - El Suelo es Lava</v>
      </c>
    </row>
    <row r="3" spans="1:3">
      <c r="A3" s="19">
        <v>2</v>
      </c>
      <c r="B3" s="5" t="s">
        <v>58</v>
      </c>
      <c r="C3" s="20" t="str">
        <f>"Tarea "&amp;A3&amp;" - "&amp;B3</f>
        <v>Tarea 2 - Los Secretos del Chef</v>
      </c>
    </row>
    <row r="4" spans="1:3">
      <c r="A4" s="19">
        <v>3</v>
      </c>
      <c r="B4" s="5" t="s">
        <v>59</v>
      </c>
      <c r="C4" s="20" t="str">
        <f>"Tarea "&amp;A4&amp;" - "&amp;B4</f>
        <v>Tarea 3 - Clonacion</v>
      </c>
    </row>
    <row r="5" spans="1:3" ht="15.75" thickBot="1">
      <c r="A5" s="26">
        <v>4</v>
      </c>
      <c r="B5" s="27" t="s">
        <v>60</v>
      </c>
      <c r="C5" s="28" t="str">
        <f>"Tarea "&amp;A5&amp;" - "&amp;B5</f>
        <v>Tarea 4 - Todo en Orden</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EF356-CB92-4EBA-8002-9601C6130A51}">
  <dimension ref="A1:F6"/>
  <sheetViews>
    <sheetView zoomScaleNormal="100" workbookViewId="0">
      <selection activeCell="E14" sqref="E14"/>
    </sheetView>
  </sheetViews>
  <sheetFormatPr defaultColWidth="10.7109375" defaultRowHeight="15"/>
  <cols>
    <col min="1" max="1" width="12.42578125" customWidth="1"/>
    <col min="2" max="2" width="27" customWidth="1"/>
    <col min="3" max="3" width="18.28515625" customWidth="1"/>
    <col min="4" max="4" width="30.140625" customWidth="1"/>
    <col min="5" max="5" width="148.42578125" customWidth="1"/>
    <col min="6" max="6" width="42.85546875" customWidth="1"/>
    <col min="7" max="7" width="19.42578125" customWidth="1"/>
    <col min="8" max="8" width="13.85546875" customWidth="1"/>
    <col min="9" max="9" width="14.140625" customWidth="1"/>
  </cols>
  <sheetData>
    <row r="1" spans="1:6">
      <c r="A1" s="23" t="s">
        <v>29</v>
      </c>
      <c r="B1" s="24" t="s">
        <v>21</v>
      </c>
      <c r="C1" s="24" t="s">
        <v>30</v>
      </c>
      <c r="D1" s="24" t="s">
        <v>31</v>
      </c>
      <c r="E1" s="24" t="s">
        <v>32</v>
      </c>
      <c r="F1" s="18" t="s">
        <v>33</v>
      </c>
    </row>
    <row r="2" spans="1:6" ht="30">
      <c r="A2" s="37">
        <v>1</v>
      </c>
      <c r="B2" s="38" t="str">
        <f>Nivel!D2</f>
        <v>El Suelo es Lava - Nivel 1</v>
      </c>
      <c r="C2" s="39">
        <v>1</v>
      </c>
      <c r="D2" s="39">
        <v>15</v>
      </c>
      <c r="E2" s="44" t="s">
        <v>61</v>
      </c>
      <c r="F2" s="40" t="str">
        <f>"Mensaje Nivel - "&amp;B2&amp;" - "&amp;C2</f>
        <v>Mensaje Nivel - El Suelo es Lava - Nivel 1 - 1</v>
      </c>
    </row>
    <row r="3" spans="1:6">
      <c r="A3" s="37">
        <v>2</v>
      </c>
      <c r="B3" s="38" t="str">
        <f>Nivel!D3</f>
        <v>El Suelo es Lava - Nivel 2</v>
      </c>
      <c r="C3" s="39">
        <v>1</v>
      </c>
      <c r="D3" s="39">
        <v>10</v>
      </c>
      <c r="E3" s="44" t="s">
        <v>62</v>
      </c>
      <c r="F3" s="40" t="str">
        <f>"Mensaje Nivel - "&amp;B3&amp;" - "&amp;C3</f>
        <v>Mensaje Nivel - El Suelo es Lava - Nivel 2 - 1</v>
      </c>
    </row>
    <row r="4" spans="1:6">
      <c r="A4" s="37">
        <v>3</v>
      </c>
      <c r="B4" s="38" t="str">
        <f>Nivel!D5</f>
        <v>Los Secretos del Chef - Nivel 1</v>
      </c>
      <c r="C4" s="39">
        <v>1</v>
      </c>
      <c r="D4" s="39">
        <v>5</v>
      </c>
      <c r="E4" s="39" t="s">
        <v>63</v>
      </c>
      <c r="F4" s="40" t="str">
        <f t="shared" ref="F4:F6" si="0">"Mensaje Nivel - "&amp;B4&amp;" - "&amp;C4</f>
        <v>Mensaje Nivel - Los Secretos del Chef - Nivel 1 - 1</v>
      </c>
    </row>
    <row r="5" spans="1:6" ht="45">
      <c r="A5" s="37">
        <v>4</v>
      </c>
      <c r="B5" s="38" t="str">
        <f>Nivel!D8</f>
        <v>Clonacion - Nivel 1</v>
      </c>
      <c r="C5" s="39">
        <v>1</v>
      </c>
      <c r="D5" s="39">
        <v>15</v>
      </c>
      <c r="E5" s="44" t="s">
        <v>64</v>
      </c>
      <c r="F5" s="40" t="str">
        <f t="shared" si="0"/>
        <v>Mensaje Nivel - Clonacion - Nivel 1 - 1</v>
      </c>
    </row>
    <row r="6" spans="1:6" ht="35.25" customHeight="1" thickBot="1">
      <c r="A6" s="66">
        <v>5</v>
      </c>
      <c r="B6" s="41" t="str">
        <f>Nivel!D11</f>
        <v>Todo en Orden - Nivel 1</v>
      </c>
      <c r="C6" s="42">
        <v>1</v>
      </c>
      <c r="D6" s="42">
        <v>20</v>
      </c>
      <c r="E6" s="45" t="s">
        <v>65</v>
      </c>
      <c r="F6" s="43" t="str">
        <f t="shared" si="0"/>
        <v>Mensaje Nivel - Todo en Orden - Nivel 1 - 1</v>
      </c>
    </row>
  </sheetData>
  <hyperlinks>
    <hyperlink ref="B4" location="Tarea!B3" display="Tarea!B3" xr:uid="{14A9F681-A7D0-4356-B3C2-F654EA56E01B}"/>
    <hyperlink ref="B5" location="Tarea!B4" display="Tarea!B4" xr:uid="{41A7AAF5-FD4B-42C8-A44A-60070603DD75}"/>
    <hyperlink ref="B2" location="Tarea!B2" display="Tarea!B2" xr:uid="{767D8234-5E10-4F46-A6B0-297AE3FEB45A}"/>
    <hyperlink ref="B6" location="Tarea!B5" display="Tarea!B5" xr:uid="{557F2260-096D-4632-9278-126D174E6D4D}"/>
    <hyperlink ref="B3" location="Tarea!B2" display="Tarea!B2" xr:uid="{8AB6B11E-AADE-4ABF-8165-144B2AF9BF8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F1206-1772-4C9F-BAB1-9D57EED1AB8B}">
  <dimension ref="A1:D13"/>
  <sheetViews>
    <sheetView zoomScale="130" zoomScaleNormal="130" workbookViewId="0">
      <selection activeCell="D3" sqref="D3"/>
    </sheetView>
  </sheetViews>
  <sheetFormatPr defaultColWidth="10.7109375" defaultRowHeight="15"/>
  <cols>
    <col min="1" max="1" width="12.85546875" customWidth="1"/>
    <col min="3" max="3" width="19.5703125" customWidth="1"/>
    <col min="4" max="4" width="27" customWidth="1"/>
  </cols>
  <sheetData>
    <row r="1" spans="1:4">
      <c r="A1" s="23" t="s">
        <v>29</v>
      </c>
      <c r="B1" s="24" t="s">
        <v>66</v>
      </c>
      <c r="C1" s="24" t="s">
        <v>19</v>
      </c>
      <c r="D1" s="18" t="s">
        <v>33</v>
      </c>
    </row>
    <row r="2" spans="1:4">
      <c r="A2" s="19">
        <v>1</v>
      </c>
      <c r="B2" s="5">
        <v>1</v>
      </c>
      <c r="C2" s="30" t="str">
        <f>Tarea!B2</f>
        <v>El Suelo es Lava</v>
      </c>
      <c r="D2" s="20" t="str">
        <f t="shared" ref="D2:D13" si="0">C2&amp;" - Nivel "&amp;B2</f>
        <v>El Suelo es Lava - Nivel 1</v>
      </c>
    </row>
    <row r="3" spans="1:4">
      <c r="A3" s="19">
        <v>2</v>
      </c>
      <c r="B3" s="5">
        <v>2</v>
      </c>
      <c r="C3" s="30" t="str">
        <f>Tarea!B2</f>
        <v>El Suelo es Lava</v>
      </c>
      <c r="D3" s="20" t="str">
        <f t="shared" si="0"/>
        <v>El Suelo es Lava - Nivel 2</v>
      </c>
    </row>
    <row r="4" spans="1:4">
      <c r="A4" s="19">
        <v>3</v>
      </c>
      <c r="B4" s="5">
        <v>3</v>
      </c>
      <c r="C4" s="30" t="str">
        <f>Tarea!B2</f>
        <v>El Suelo es Lava</v>
      </c>
      <c r="D4" s="20" t="str">
        <f t="shared" si="0"/>
        <v>El Suelo es Lava - Nivel 3</v>
      </c>
    </row>
    <row r="5" spans="1:4">
      <c r="A5" s="19">
        <v>4</v>
      </c>
      <c r="B5" s="5">
        <v>1</v>
      </c>
      <c r="C5" s="30" t="str">
        <f>Tarea!B3</f>
        <v>Los Secretos del Chef</v>
      </c>
      <c r="D5" s="20" t="str">
        <f t="shared" si="0"/>
        <v>Los Secretos del Chef - Nivel 1</v>
      </c>
    </row>
    <row r="6" spans="1:4">
      <c r="A6" s="19">
        <v>5</v>
      </c>
      <c r="B6" s="5">
        <v>2</v>
      </c>
      <c r="C6" s="30" t="str">
        <f>Tarea!B3</f>
        <v>Los Secretos del Chef</v>
      </c>
      <c r="D6" s="20" t="str">
        <f t="shared" si="0"/>
        <v>Los Secretos del Chef - Nivel 2</v>
      </c>
    </row>
    <row r="7" spans="1:4">
      <c r="A7" s="19">
        <v>6</v>
      </c>
      <c r="B7" s="5">
        <v>3</v>
      </c>
      <c r="C7" s="30" t="str">
        <f>Tarea!B3</f>
        <v>Los Secretos del Chef</v>
      </c>
      <c r="D7" s="20" t="str">
        <f t="shared" si="0"/>
        <v>Los Secretos del Chef - Nivel 3</v>
      </c>
    </row>
    <row r="8" spans="1:4">
      <c r="A8" s="19">
        <v>7</v>
      </c>
      <c r="B8" s="5">
        <v>1</v>
      </c>
      <c r="C8" s="30" t="str">
        <f>Tarea!B4</f>
        <v>Clonacion</v>
      </c>
      <c r="D8" s="20" t="str">
        <f t="shared" si="0"/>
        <v>Clonacion - Nivel 1</v>
      </c>
    </row>
    <row r="9" spans="1:4">
      <c r="A9" s="19">
        <v>8</v>
      </c>
      <c r="B9" s="5">
        <v>2</v>
      </c>
      <c r="C9" s="30" t="str">
        <f>Tarea!B4</f>
        <v>Clonacion</v>
      </c>
      <c r="D9" s="20" t="str">
        <f t="shared" si="0"/>
        <v>Clonacion - Nivel 2</v>
      </c>
    </row>
    <row r="10" spans="1:4">
      <c r="A10" s="19">
        <v>9</v>
      </c>
      <c r="B10" s="5">
        <v>3</v>
      </c>
      <c r="C10" s="30" t="str">
        <f>Tarea!B4</f>
        <v>Clonacion</v>
      </c>
      <c r="D10" s="20" t="str">
        <f t="shared" si="0"/>
        <v>Clonacion - Nivel 3</v>
      </c>
    </row>
    <row r="11" spans="1:4">
      <c r="A11" s="19">
        <v>10</v>
      </c>
      <c r="B11" s="5">
        <v>1</v>
      </c>
      <c r="C11" s="30" t="str">
        <f>Tarea!B5</f>
        <v>Todo en Orden</v>
      </c>
      <c r="D11" s="20" t="str">
        <f t="shared" si="0"/>
        <v>Todo en Orden - Nivel 1</v>
      </c>
    </row>
    <row r="12" spans="1:4">
      <c r="A12" s="19">
        <v>11</v>
      </c>
      <c r="B12" s="5">
        <v>2</v>
      </c>
      <c r="C12" s="30" t="str">
        <f>Tarea!B5</f>
        <v>Todo en Orden</v>
      </c>
      <c r="D12" s="20" t="str">
        <f t="shared" si="0"/>
        <v>Todo en Orden - Nivel 2</v>
      </c>
    </row>
    <row r="13" spans="1:4" ht="15.75" thickBot="1">
      <c r="A13" s="26">
        <v>12</v>
      </c>
      <c r="B13" s="27">
        <v>3</v>
      </c>
      <c r="C13" s="31" t="str">
        <f>Tarea!B5</f>
        <v>Todo en Orden</v>
      </c>
      <c r="D13" s="28" t="str">
        <f t="shared" si="0"/>
        <v>Todo en Orden - Nivel 3</v>
      </c>
    </row>
  </sheetData>
  <hyperlinks>
    <hyperlink ref="C11:C13" location="Tarea!B5" display="Tarea!B5" xr:uid="{AB02C4BA-AE4C-4C27-B21F-452126EF30C6}"/>
    <hyperlink ref="C8:C10" location="Tarea!B4" display="Tarea!B4" xr:uid="{C4607C49-E98A-4B63-A06C-6F4CFDC72423}"/>
    <hyperlink ref="C5:C7" location="Tarea!B3" display="Tarea!B3" xr:uid="{9DE3B2A8-D52A-4387-BD08-0525EE90F2FC}"/>
    <hyperlink ref="C2:C4" location="Tarea!B2" display="Tarea!B2" xr:uid="{9264B690-EAAF-4B55-B341-3ED1B221B0A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56016-FE0C-4969-9D7A-47DC53D3A1E8}">
  <dimension ref="A1:G32"/>
  <sheetViews>
    <sheetView workbookViewId="0">
      <selection activeCell="G31" sqref="G31"/>
    </sheetView>
  </sheetViews>
  <sheetFormatPr defaultColWidth="10.7109375" defaultRowHeight="15"/>
  <cols>
    <col min="1" max="1" width="12.42578125" customWidth="1"/>
    <col min="2" max="2" width="27.42578125" customWidth="1"/>
    <col min="4" max="4" width="43.42578125" customWidth="1"/>
    <col min="5" max="5" width="67.28515625" customWidth="1"/>
    <col min="6" max="6" width="27.85546875" customWidth="1"/>
    <col min="7" max="7" width="58.85546875" customWidth="1"/>
  </cols>
  <sheetData>
    <row r="1" spans="1:7">
      <c r="A1" s="23" t="s">
        <v>29</v>
      </c>
      <c r="B1" s="24" t="s">
        <v>21</v>
      </c>
      <c r="C1" s="24" t="s">
        <v>23</v>
      </c>
      <c r="D1" s="24" t="s">
        <v>67</v>
      </c>
      <c r="E1" s="24" t="s">
        <v>68</v>
      </c>
      <c r="F1" s="24" t="s">
        <v>69</v>
      </c>
      <c r="G1" s="18" t="s">
        <v>33</v>
      </c>
    </row>
    <row r="2" spans="1:7">
      <c r="A2" s="19">
        <v>1</v>
      </c>
      <c r="B2" s="46" t="str">
        <f>Nivel!D2</f>
        <v>El Suelo es Lava - Nivel 1</v>
      </c>
      <c r="C2" s="5">
        <v>1</v>
      </c>
      <c r="D2" s="5" t="s">
        <v>70</v>
      </c>
      <c r="E2" s="30" t="str">
        <f>'Opción Respuesta'!F3</f>
        <v>Estimulo El Suelo es Lava - Nivel 1 - 1 - Opcion 2</v>
      </c>
      <c r="F2" s="5">
        <v>30</v>
      </c>
      <c r="G2" s="20" t="str">
        <f>"Estimulo "&amp;B2&amp;" - "&amp;C2</f>
        <v>Estimulo El Suelo es Lava - Nivel 1 - 1</v>
      </c>
    </row>
    <row r="3" spans="1:7">
      <c r="A3" s="19">
        <v>2</v>
      </c>
      <c r="B3" s="46" t="str">
        <f>Nivel!D2</f>
        <v>El Suelo es Lava - Nivel 1</v>
      </c>
      <c r="C3" s="5">
        <v>2</v>
      </c>
      <c r="D3" s="5" t="s">
        <v>70</v>
      </c>
      <c r="E3" s="30" t="str">
        <f>'Opción Respuesta'!F5</f>
        <v>Estimulo El Suelo es Lava - Nivel 1 - 2 - Opcion 1</v>
      </c>
      <c r="F3" s="5">
        <v>30</v>
      </c>
      <c r="G3" s="20" t="str">
        <f t="shared" ref="G3:G32" si="0">"Estimulo "&amp;B3&amp;" - "&amp;C3</f>
        <v>Estimulo El Suelo es Lava - Nivel 1 - 2</v>
      </c>
    </row>
    <row r="4" spans="1:7">
      <c r="A4" s="19">
        <v>3</v>
      </c>
      <c r="B4" s="46" t="str">
        <f>Nivel!D2</f>
        <v>El Suelo es Lava - Nivel 1</v>
      </c>
      <c r="C4" s="5">
        <v>3</v>
      </c>
      <c r="D4" s="5" t="s">
        <v>70</v>
      </c>
      <c r="E4" s="30" t="str">
        <f>'Opción Respuesta'!F10</f>
        <v>Estimulo El Suelo es Lava - Nivel 1 - 3 - Opcion 3</v>
      </c>
      <c r="F4" s="5">
        <v>30</v>
      </c>
      <c r="G4" s="20" t="str">
        <f t="shared" si="0"/>
        <v>Estimulo El Suelo es Lava - Nivel 1 - 3</v>
      </c>
    </row>
    <row r="5" spans="1:7">
      <c r="A5" s="19">
        <v>4</v>
      </c>
      <c r="B5" s="46" t="str">
        <f>Nivel!D2</f>
        <v>El Suelo es Lava - Nivel 1</v>
      </c>
      <c r="C5" s="5">
        <v>4</v>
      </c>
      <c r="D5" s="5" t="s">
        <v>70</v>
      </c>
      <c r="E5" s="30" t="str">
        <f>'Opción Respuesta'!F11</f>
        <v>Estimulo El Suelo es Lava - Nivel 1 - 4 - Opcion 1</v>
      </c>
      <c r="F5" s="5">
        <v>30</v>
      </c>
      <c r="G5" s="20" t="str">
        <f t="shared" si="0"/>
        <v>Estimulo El Suelo es Lava - Nivel 1 - 4</v>
      </c>
    </row>
    <row r="6" spans="1:7">
      <c r="A6" s="19">
        <v>5</v>
      </c>
      <c r="B6" s="46" t="str">
        <f>Nivel!D2</f>
        <v>El Suelo es Lava - Nivel 1</v>
      </c>
      <c r="C6" s="5">
        <v>5</v>
      </c>
      <c r="D6" s="5" t="s">
        <v>70</v>
      </c>
      <c r="E6" s="30" t="str">
        <f>'Opción Respuesta'!F16</f>
        <v>Estimulo El Suelo es Lava - Nivel 1 - 5 - Opcion 3</v>
      </c>
      <c r="F6" s="5">
        <v>30</v>
      </c>
      <c r="G6" s="20" t="str">
        <f t="shared" si="0"/>
        <v>Estimulo El Suelo es Lava - Nivel 1 - 5</v>
      </c>
    </row>
    <row r="7" spans="1:7">
      <c r="A7" s="19">
        <v>6</v>
      </c>
      <c r="B7" s="46" t="str">
        <f>Nivel!D2</f>
        <v>El Suelo es Lava - Nivel 1</v>
      </c>
      <c r="C7" s="5">
        <v>6</v>
      </c>
      <c r="D7" s="5" t="s">
        <v>70</v>
      </c>
      <c r="E7" s="30" t="str">
        <f>'Opción Respuesta'!F18</f>
        <v>Estimulo El Suelo es Lava - Nivel 1 - 6 - Opcion 2</v>
      </c>
      <c r="F7" s="5">
        <v>30</v>
      </c>
      <c r="G7" s="20" t="str">
        <f t="shared" si="0"/>
        <v>Estimulo El Suelo es Lava - Nivel 1 - 6</v>
      </c>
    </row>
    <row r="8" spans="1:7">
      <c r="A8" s="19">
        <v>7</v>
      </c>
      <c r="B8" s="46" t="str">
        <f>Nivel!D2</f>
        <v>El Suelo es Lava - Nivel 1</v>
      </c>
      <c r="C8" s="5">
        <v>7</v>
      </c>
      <c r="D8" s="5" t="s">
        <v>70</v>
      </c>
      <c r="E8" s="30" t="str">
        <f>'Opción Respuesta'!F22</f>
        <v>Estimulo El Suelo es Lava - Nivel 1 - 7 - Opcion 3</v>
      </c>
      <c r="F8" s="5">
        <v>30</v>
      </c>
      <c r="G8" s="20" t="str">
        <f t="shared" si="0"/>
        <v>Estimulo El Suelo es Lava - Nivel 1 - 7</v>
      </c>
    </row>
    <row r="9" spans="1:7">
      <c r="A9" s="19">
        <v>8</v>
      </c>
      <c r="B9" s="46" t="str">
        <f>Nivel!D3</f>
        <v>El Suelo es Lava - Nivel 2</v>
      </c>
      <c r="C9" s="5">
        <v>1</v>
      </c>
      <c r="D9" s="5" t="s">
        <v>70</v>
      </c>
      <c r="E9" s="30" t="str">
        <f>'Opción Respuesta'!F25</f>
        <v>Estimulo El Suelo es Lava - Nivel 2 - 1 - Opcion 3</v>
      </c>
      <c r="F9" s="5">
        <v>30</v>
      </c>
      <c r="G9" s="20" t="str">
        <f t="shared" si="0"/>
        <v>Estimulo El Suelo es Lava - Nivel 2 - 1</v>
      </c>
    </row>
    <row r="10" spans="1:7">
      <c r="A10" s="19">
        <v>9</v>
      </c>
      <c r="B10" s="46" t="str">
        <f>Nivel!D3</f>
        <v>El Suelo es Lava - Nivel 2</v>
      </c>
      <c r="C10" s="5">
        <v>2</v>
      </c>
      <c r="D10" s="5" t="s">
        <v>70</v>
      </c>
      <c r="E10" s="30" t="str">
        <f>'Opción Respuesta'!F27</f>
        <v>Estimulo El Suelo es Lava - Nivel 2 - 2 - Opcion 2</v>
      </c>
      <c r="F10" s="5">
        <v>30</v>
      </c>
      <c r="G10" s="20" t="str">
        <f t="shared" si="0"/>
        <v>Estimulo El Suelo es Lava - Nivel 2 - 2</v>
      </c>
    </row>
    <row r="11" spans="1:7">
      <c r="A11" s="19">
        <v>10</v>
      </c>
      <c r="B11" s="46" t="str">
        <f>Nivel!D3</f>
        <v>El Suelo es Lava - Nivel 2</v>
      </c>
      <c r="C11" s="5">
        <v>3</v>
      </c>
      <c r="D11" s="5" t="s">
        <v>70</v>
      </c>
      <c r="E11" s="30" t="str">
        <f>'Opción Respuesta'!F31</f>
        <v>Estimulo El Suelo es Lava - Nivel 2 - 3 - Opcion 3</v>
      </c>
      <c r="F11" s="5">
        <v>30</v>
      </c>
      <c r="G11" s="20" t="str">
        <f t="shared" si="0"/>
        <v>Estimulo El Suelo es Lava - Nivel 2 - 3</v>
      </c>
    </row>
    <row r="12" spans="1:7">
      <c r="A12" s="19">
        <v>11</v>
      </c>
      <c r="B12" s="46" t="str">
        <f>Nivel!D4</f>
        <v>El Suelo es Lava - Nivel 3</v>
      </c>
      <c r="C12" s="5">
        <v>1</v>
      </c>
      <c r="D12" s="5" t="s">
        <v>70</v>
      </c>
      <c r="E12" s="30" t="str">
        <f>'Opción Respuesta'!F35</f>
        <v>Estimulo El Suelo es Lava - Nivel 3 - 1 - Opcion 4</v>
      </c>
      <c r="F12" s="5">
        <v>45</v>
      </c>
      <c r="G12" s="20" t="str">
        <f t="shared" si="0"/>
        <v>Estimulo El Suelo es Lava - Nivel 3 - 1</v>
      </c>
    </row>
    <row r="13" spans="1:7">
      <c r="A13" s="19">
        <v>12</v>
      </c>
      <c r="B13" s="30" t="str">
        <f>Nivel!D4</f>
        <v>El Suelo es Lava - Nivel 3</v>
      </c>
      <c r="C13" s="5">
        <v>2</v>
      </c>
      <c r="D13" s="5" t="s">
        <v>70</v>
      </c>
      <c r="E13" s="30" t="str">
        <f>'Opción Respuesta'!F38</f>
        <v>Estimulo El Suelo es Lava - Nivel 3 - 2 - Opcion 3</v>
      </c>
      <c r="F13" s="5">
        <v>45</v>
      </c>
      <c r="G13" s="20" t="str">
        <f t="shared" si="0"/>
        <v>Estimulo El Suelo es Lava - Nivel 3 - 2</v>
      </c>
    </row>
    <row r="14" spans="1:7">
      <c r="A14" s="19">
        <v>13</v>
      </c>
      <c r="B14" s="46" t="str">
        <f>Nivel!D5</f>
        <v>Los Secretos del Chef - Nivel 1</v>
      </c>
      <c r="C14" s="5">
        <v>1</v>
      </c>
      <c r="D14" s="5" t="s">
        <v>71</v>
      </c>
      <c r="E14" s="30" t="str">
        <f>'Opción Respuesta'!F40</f>
        <v>Estimulo Los Secretos del Chef - Nivel 1 - 1 - Opcion 1</v>
      </c>
      <c r="F14" s="5">
        <v>42</v>
      </c>
      <c r="G14" s="20" t="str">
        <f t="shared" si="0"/>
        <v>Estimulo Los Secretos del Chef - Nivel 1 - 1</v>
      </c>
    </row>
    <row r="15" spans="1:7">
      <c r="A15" s="19">
        <v>14</v>
      </c>
      <c r="B15" s="46" t="str">
        <f>Nivel!D6</f>
        <v>Los Secretos del Chef - Nivel 2</v>
      </c>
      <c r="C15" s="5">
        <v>1</v>
      </c>
      <c r="D15" s="5" t="s">
        <v>72</v>
      </c>
      <c r="E15" s="30" t="str">
        <f>'Opción Respuesta'!F44</f>
        <v>Estimulo Los Secretos del Chef - Nivel 2 - 1 - Opcion 4</v>
      </c>
      <c r="F15" s="5">
        <v>45</v>
      </c>
      <c r="G15" s="20" t="str">
        <f t="shared" si="0"/>
        <v>Estimulo Los Secretos del Chef - Nivel 2 - 1</v>
      </c>
    </row>
    <row r="16" spans="1:7">
      <c r="A16" s="19">
        <v>15</v>
      </c>
      <c r="B16" s="46" t="str">
        <f>Nivel!D7</f>
        <v>Los Secretos del Chef - Nivel 3</v>
      </c>
      <c r="C16" s="5">
        <v>1</v>
      </c>
      <c r="D16" s="5" t="s">
        <v>71</v>
      </c>
      <c r="E16" s="30" t="str">
        <f>'Opción Respuesta'!F45</f>
        <v>Estimulo Los Secretos del Chef - Nivel 3 - 1 - Opcion 1</v>
      </c>
      <c r="F16" s="5">
        <v>42</v>
      </c>
      <c r="G16" s="20" t="str">
        <f t="shared" si="0"/>
        <v>Estimulo Los Secretos del Chef - Nivel 3 - 1</v>
      </c>
    </row>
    <row r="17" spans="1:7" ht="75">
      <c r="A17" s="60">
        <v>16</v>
      </c>
      <c r="B17" s="61" t="str">
        <f>Nivel!D8</f>
        <v>Clonacion - Nivel 1</v>
      </c>
      <c r="C17" s="59">
        <v>1</v>
      </c>
      <c r="D17" s="25" t="s">
        <v>73</v>
      </c>
      <c r="E17" s="58" t="str">
        <f>'Opción Respuesta'!F46</f>
        <v>Estimulo Clonacion - Nivel 1 - 1 - Opcion 1</v>
      </c>
      <c r="F17" s="59">
        <v>300</v>
      </c>
      <c r="G17" s="20" t="str">
        <f t="shared" si="0"/>
        <v>Estimulo Clonacion - Nivel 1 - 1</v>
      </c>
    </row>
    <row r="18" spans="1:7" ht="120">
      <c r="A18" s="60">
        <v>17</v>
      </c>
      <c r="B18" s="61" t="str">
        <f>Nivel!D8</f>
        <v>Clonacion - Nivel 1</v>
      </c>
      <c r="C18" s="59">
        <v>2</v>
      </c>
      <c r="D18" s="25" t="s">
        <v>74</v>
      </c>
      <c r="E18" s="62" t="str">
        <f>'Opción Respuesta'!F49</f>
        <v>Estimulo Clonacion - Nivel 1 - 2 - Opcion 3</v>
      </c>
      <c r="F18" s="59">
        <v>300</v>
      </c>
      <c r="G18" s="20" t="str">
        <f t="shared" si="0"/>
        <v>Estimulo Clonacion - Nivel 1 - 2</v>
      </c>
    </row>
    <row r="19" spans="1:7" ht="90">
      <c r="A19" s="60">
        <v>18</v>
      </c>
      <c r="B19" s="61" t="str">
        <f>Nivel!D8</f>
        <v>Clonacion - Nivel 1</v>
      </c>
      <c r="C19" s="59">
        <v>3</v>
      </c>
      <c r="D19" s="25" t="s">
        <v>75</v>
      </c>
      <c r="E19" s="62" t="str">
        <f>'Opción Respuesta'!F51</f>
        <v>Estimulo Clonacion - Nivel 1 - 3 - Opcion 1</v>
      </c>
      <c r="F19" s="59">
        <v>240</v>
      </c>
      <c r="G19" s="20" t="str">
        <f t="shared" si="0"/>
        <v>Estimulo Clonacion - Nivel 1 - 3</v>
      </c>
    </row>
    <row r="20" spans="1:7" ht="14.25" customHeight="1">
      <c r="A20" s="19">
        <v>19</v>
      </c>
      <c r="B20" s="46" t="str">
        <f>Nivel!D11</f>
        <v>Todo en Orden - Nivel 1</v>
      </c>
      <c r="C20" s="5">
        <v>1</v>
      </c>
      <c r="D20" s="5" t="s">
        <v>76</v>
      </c>
      <c r="E20" s="53" t="str">
        <f>'Opción Respuesta'!F55</f>
        <v>Estimulo Todo en Orden - Nivel 1 - 1 - Opcion 1</v>
      </c>
      <c r="F20" s="5">
        <v>420</v>
      </c>
      <c r="G20" s="20" t="str">
        <f t="shared" si="0"/>
        <v>Estimulo Todo en Orden - Nivel 1 - 1</v>
      </c>
    </row>
    <row r="21" spans="1:7" ht="46.5" customHeight="1">
      <c r="A21" s="60">
        <v>20</v>
      </c>
      <c r="B21" s="61" t="str">
        <f>Nivel!D12</f>
        <v>Todo en Orden - Nivel 2</v>
      </c>
      <c r="C21" s="59">
        <v>1</v>
      </c>
      <c r="D21" s="25" t="s">
        <v>77</v>
      </c>
      <c r="E21" s="63" t="str">
        <f>'Opción Respuesta'!F56</f>
        <v>Estimulo Todo en Orden - Nivel 2 - 1 - Opcion 1</v>
      </c>
      <c r="F21" s="59">
        <v>600</v>
      </c>
      <c r="G21" s="20" t="str">
        <f t="shared" si="0"/>
        <v>Estimulo Todo en Orden - Nivel 2 - 1</v>
      </c>
    </row>
    <row r="22" spans="1:7" ht="15" customHeight="1">
      <c r="A22" s="19">
        <v>21</v>
      </c>
      <c r="B22" s="46" t="str">
        <f>Nivel!D13</f>
        <v>Todo en Orden - Nivel 3</v>
      </c>
      <c r="C22" s="5">
        <v>1</v>
      </c>
      <c r="D22" s="5" t="s">
        <v>78</v>
      </c>
      <c r="E22" s="53" t="str">
        <f>'Opción Respuesta'!F57</f>
        <v>Estimulo Todo en Orden - Nivel 3 - 1 - Opcion 1</v>
      </c>
      <c r="F22" s="5">
        <v>60</v>
      </c>
      <c r="G22" s="20" t="str">
        <f t="shared" si="0"/>
        <v>Estimulo Todo en Orden - Nivel 3 - 1</v>
      </c>
    </row>
    <row r="23" spans="1:7" ht="14.25" customHeight="1">
      <c r="A23" s="19">
        <v>22</v>
      </c>
      <c r="B23" s="46" t="str">
        <f>Nivel!D13</f>
        <v>Todo en Orden - Nivel 3</v>
      </c>
      <c r="C23" s="5">
        <v>2</v>
      </c>
      <c r="D23" s="5" t="s">
        <v>78</v>
      </c>
      <c r="E23" s="53" t="str">
        <f>'Opción Respuesta'!F58</f>
        <v>Estimulo Todo en Orden - Nivel 3 - 2 - Opcion 2</v>
      </c>
      <c r="F23" s="5">
        <v>60</v>
      </c>
      <c r="G23" s="20" t="str">
        <f t="shared" si="0"/>
        <v>Estimulo Todo en Orden - Nivel 3 - 2</v>
      </c>
    </row>
    <row r="24" spans="1:7" ht="15.75" customHeight="1">
      <c r="A24" s="19">
        <v>23</v>
      </c>
      <c r="B24" s="46" t="str">
        <f>Nivel!D13</f>
        <v>Todo en Orden - Nivel 3</v>
      </c>
      <c r="C24" s="5">
        <v>3</v>
      </c>
      <c r="D24" s="5" t="s">
        <v>78</v>
      </c>
      <c r="E24" s="53" t="str">
        <f>'Opción Respuesta'!F59</f>
        <v>Estimulo Todo en Orden - Nivel 3 - 3 - Opcion 3</v>
      </c>
      <c r="F24" s="5">
        <v>60</v>
      </c>
      <c r="G24" s="20" t="str">
        <f t="shared" si="0"/>
        <v>Estimulo Todo en Orden - Nivel 3 - 3</v>
      </c>
    </row>
    <row r="25" spans="1:7" ht="14.25" customHeight="1">
      <c r="A25" s="19">
        <v>24</v>
      </c>
      <c r="B25" s="46" t="str">
        <f>Nivel!D13</f>
        <v>Todo en Orden - Nivel 3</v>
      </c>
      <c r="C25" s="5">
        <v>4</v>
      </c>
      <c r="D25" s="5" t="s">
        <v>78</v>
      </c>
      <c r="E25" s="53" t="str">
        <f>'Opción Respuesta'!F60</f>
        <v>Estimulo Todo en Orden - Nivel 3 - 4 - Opcion 4</v>
      </c>
      <c r="F25" s="5">
        <v>120</v>
      </c>
      <c r="G25" s="20" t="str">
        <f t="shared" si="0"/>
        <v>Estimulo Todo en Orden - Nivel 3 - 4</v>
      </c>
    </row>
    <row r="26" spans="1:7" ht="14.25" customHeight="1">
      <c r="A26" s="19">
        <v>25</v>
      </c>
      <c r="B26" s="46" t="str">
        <f>Nivel!D13</f>
        <v>Todo en Orden - Nivel 3</v>
      </c>
      <c r="C26" s="5">
        <v>5</v>
      </c>
      <c r="D26" s="5" t="s">
        <v>78</v>
      </c>
      <c r="E26" s="53" t="str">
        <f>'Opción Respuesta'!F61</f>
        <v>Estimulo Todo en Orden - Nivel 3 - 5 - Opcion 5</v>
      </c>
      <c r="F26" s="5">
        <v>120</v>
      </c>
      <c r="G26" s="20" t="str">
        <f t="shared" si="0"/>
        <v>Estimulo Todo en Orden - Nivel 3 - 5</v>
      </c>
    </row>
    <row r="27" spans="1:7" ht="15.75" customHeight="1">
      <c r="A27" s="19">
        <v>26</v>
      </c>
      <c r="B27" s="46" t="str">
        <f>Nivel!D13</f>
        <v>Todo en Orden - Nivel 3</v>
      </c>
      <c r="C27" s="5">
        <v>6</v>
      </c>
      <c r="D27" s="5" t="s">
        <v>78</v>
      </c>
      <c r="E27" s="53" t="str">
        <f>'Opción Respuesta'!F62</f>
        <v>Estimulo Todo en Orden - Nivel 3 - 6 - Opcion 6</v>
      </c>
      <c r="F27" s="5">
        <v>120</v>
      </c>
      <c r="G27" s="20" t="str">
        <f t="shared" si="0"/>
        <v>Estimulo Todo en Orden - Nivel 3 - 6</v>
      </c>
    </row>
    <row r="28" spans="1:7" ht="15" customHeight="1">
      <c r="A28" s="19">
        <v>27</v>
      </c>
      <c r="B28" s="46" t="str">
        <f>Nivel!D13</f>
        <v>Todo en Orden - Nivel 3</v>
      </c>
      <c r="C28" s="5">
        <v>7</v>
      </c>
      <c r="D28" s="5" t="s">
        <v>78</v>
      </c>
      <c r="E28" s="53" t="str">
        <f>'Opción Respuesta'!F63</f>
        <v>Estimulo Todo en Orden - Nivel 3 - 7 - Opcion 7</v>
      </c>
      <c r="F28" s="5">
        <v>120</v>
      </c>
      <c r="G28" s="20" t="str">
        <f t="shared" si="0"/>
        <v>Estimulo Todo en Orden - Nivel 3 - 7</v>
      </c>
    </row>
    <row r="29" spans="1:7" ht="14.25" customHeight="1">
      <c r="A29" s="19">
        <v>28</v>
      </c>
      <c r="B29" s="46" t="str">
        <f>Nivel!D13</f>
        <v>Todo en Orden - Nivel 3</v>
      </c>
      <c r="C29" s="5">
        <v>8</v>
      </c>
      <c r="D29" s="5" t="s">
        <v>78</v>
      </c>
      <c r="E29" s="53" t="str">
        <f>'Opción Respuesta'!F64</f>
        <v>Estimulo Todo en Orden - Nivel 3 - 8 - Opcion 8</v>
      </c>
      <c r="F29" s="5">
        <v>180</v>
      </c>
      <c r="G29" s="20" t="str">
        <f t="shared" si="0"/>
        <v>Estimulo Todo en Orden - Nivel 3 - 8</v>
      </c>
    </row>
    <row r="30" spans="1:7" ht="17.25" customHeight="1">
      <c r="A30" s="19">
        <v>29</v>
      </c>
      <c r="B30" s="46" t="str">
        <f>Nivel!D13</f>
        <v>Todo en Orden - Nivel 3</v>
      </c>
      <c r="C30" s="5">
        <v>9</v>
      </c>
      <c r="D30" s="5" t="s">
        <v>78</v>
      </c>
      <c r="E30" s="53" t="str">
        <f>'Opción Respuesta'!F65</f>
        <v>Estimulo Todo en Orden - Nivel 3 - 9 - Opcion 9</v>
      </c>
      <c r="F30" s="5">
        <v>180</v>
      </c>
      <c r="G30" s="20" t="str">
        <f t="shared" si="0"/>
        <v>Estimulo Todo en Orden - Nivel 3 - 9</v>
      </c>
    </row>
    <row r="31" spans="1:7" ht="16.5" customHeight="1">
      <c r="A31" s="19">
        <v>30</v>
      </c>
      <c r="B31" s="46" t="str">
        <f>Nivel!D13</f>
        <v>Todo en Orden - Nivel 3</v>
      </c>
      <c r="C31" s="5">
        <v>10</v>
      </c>
      <c r="D31" s="5" t="s">
        <v>78</v>
      </c>
      <c r="E31" s="53" t="str">
        <f>'Opción Respuesta'!F66</f>
        <v>Estimulo Todo en Orden - Nivel 3 - 10 - Opcion 10</v>
      </c>
      <c r="F31" s="5">
        <v>180</v>
      </c>
      <c r="G31" s="20" t="str">
        <f t="shared" si="0"/>
        <v>Estimulo Todo en Orden - Nivel 3 - 10</v>
      </c>
    </row>
    <row r="32" spans="1:7" ht="17.25" customHeight="1" thickBot="1">
      <c r="A32" s="26">
        <v>31</v>
      </c>
      <c r="B32" s="47" t="str">
        <f>Nivel!D13</f>
        <v>Todo en Orden - Nivel 3</v>
      </c>
      <c r="C32" s="27">
        <v>11</v>
      </c>
      <c r="D32" s="27" t="s">
        <v>78</v>
      </c>
      <c r="E32" s="54" t="str">
        <f>'Opción Respuesta'!F67</f>
        <v>Estimulo Todo en Orden - Nivel 3 - 11 - Opcion 11</v>
      </c>
      <c r="F32" s="27">
        <v>180</v>
      </c>
      <c r="G32" s="28" t="str">
        <f t="shared" si="0"/>
        <v>Estimulo Todo en Orden - Nivel 3 - 11</v>
      </c>
    </row>
  </sheetData>
  <phoneticPr fontId="2" type="noConversion"/>
  <hyperlinks>
    <hyperlink ref="B2:B8" location="Nivel!D2" display="Nivel!D2" xr:uid="{64773D2D-8ADC-4F27-A440-596BE0A66077}"/>
    <hyperlink ref="B12:B13" location="Nivel!D4" display="Nivel!D4" xr:uid="{1B8DD6E7-D9B9-4120-8E2C-9D822A9E6DAD}"/>
    <hyperlink ref="B9:B11" location="Nivel!D3" display="Nivel!D3" xr:uid="{6B88E06A-7E32-470A-9766-89F60C1E3132}"/>
    <hyperlink ref="B16" location="Nivel!D7" display="Nivel!D7" xr:uid="{A4F6E5A8-77FF-4CDC-9C9B-E9D84BF4A9DB}"/>
    <hyperlink ref="B15" location="Estimulo!D6" display="Estimulo!D6" xr:uid="{01CBF633-4AC4-49C4-B7E7-B53733DC9D79}"/>
    <hyperlink ref="B14" location="Nivel!D5" display="Nivel!D5" xr:uid="{9635D0F1-0CC6-4B76-83C6-BC6841008A35}"/>
    <hyperlink ref="B17:B19" location="Nivel!D8" display="Nivel!D8" xr:uid="{465D3A94-C6A2-4DA1-8761-10B3F34E76D5}"/>
    <hyperlink ref="B20" location="Nivel!D11" display="Nivel!D11" xr:uid="{F81D9CEE-3266-4C01-9318-8396D168C432}"/>
    <hyperlink ref="B21" location="Nivel!D12" display="Nivel!D12" xr:uid="{2BD4DFBE-2126-4243-B12D-F4E0573ED149}"/>
    <hyperlink ref="B22:B32" location="Nivel!D13" display="Nivel!D13" xr:uid="{D3CB3A8A-5660-48F5-9D38-A7E3A8398E55}"/>
    <hyperlink ref="E2" location="'Opciones de Respuesta'!E3" display="'Opciones de Respuesta'!E3" xr:uid="{0AD5AEAB-69B1-498F-972B-B7A0BDF418E0}"/>
    <hyperlink ref="E20" location="'Opciones de Respuesta'!E55" display="'Opciones de Respuesta'!E55" xr:uid="{9EDE40FB-00C1-468B-845E-CBC3AF9619FA}"/>
    <hyperlink ref="E21" location="'Opciones de Respuesta'!E56" display="'Opciones de Respuesta'!E56" xr:uid="{8C6072D7-20B6-4E00-B8E2-54D7C1DBD0FC}"/>
    <hyperlink ref="E22" location="'Respuesta Estimulo'!E57" display="'Respuesta Estimulo'!E57" xr:uid="{500697FC-CFE4-4378-9182-907CFC5B4B45}"/>
    <hyperlink ref="E23" location="'Opciones de Respuesta'!E58" display="'Opciones de Respuesta'!E58" xr:uid="{DB2E4F74-BD6C-43B5-9296-630270F32ABF}"/>
    <hyperlink ref="E24" location="'Opciones de Respuesta'!E59" display="'Opciones de Respuesta'!E59" xr:uid="{21AE6594-337E-4C56-9B3E-13D2BBFEB66D}"/>
    <hyperlink ref="E25" location="'Opciones de Respuesta'!E60" display="'Opciones de Respuesta'!E60" xr:uid="{8EC8725A-5693-459C-914B-13B2D56079B9}"/>
    <hyperlink ref="E26" location="'Opciones de Respuesta'!E61" display="'Opciones de Respuesta'!E61" xr:uid="{AA681C9C-0443-447B-A75C-51FD6823AF67}"/>
    <hyperlink ref="E27" location="'Opciones de Respuesta'!E62" display="'Opciones de Respuesta'!E62" xr:uid="{FDEB7AD0-9798-420C-8173-577F03C11478}"/>
    <hyperlink ref="E28" location="'Opciones de Respuesta'!E63" display="'Opciones de Respuesta'!E63" xr:uid="{316EFA5F-32CD-46F8-BF2C-0BD62EDD3731}"/>
    <hyperlink ref="E29" location="'Opciones de Respuesta'!E64" display="'Opciones de Respuesta'!E64" xr:uid="{EF8B0DCB-925F-41ED-B1A4-841B89166795}"/>
    <hyperlink ref="E30" location="'Opciones de Respuesta'!E65" display="'Opciones de Respuesta'!E65" xr:uid="{4CAA6AE7-5CE2-49AB-ACCC-C545116075B2}"/>
    <hyperlink ref="E31" location="'Opciones de Respuesta'!E66" display="'Opciones de Respuesta'!E66" xr:uid="{ABCB484A-D619-4D58-8430-C26D021C6014}"/>
    <hyperlink ref="E32" location="'Opciones de Respuesta'!E67" display="'Opciones de Respuesta'!E67" xr:uid="{3A44CA9F-B279-4A67-9C6E-78EAB81AC1BC}"/>
    <hyperlink ref="E19" location="'Opciones de Respuesta'!E51" display="'Opciones de Respuesta'!E51" xr:uid="{FAF00CDA-A313-4508-95E0-CD8FE2F61895}"/>
    <hyperlink ref="E18" location="'Opciones de Respuesta'!E49" display="'Opciones de Respuesta'!E49" xr:uid="{10F288B8-82C1-414A-9482-CD2706666D9F}"/>
    <hyperlink ref="E17" location="'Opciones de Respuesta'!E46" display="'Opciones de Respuesta'!E46" xr:uid="{75E00B1A-E347-4752-AE37-A4D0D651FBDC}"/>
    <hyperlink ref="E14" location="'Opciones de Respuesta'!E40" display="'Opciones de Respuesta'!E40" xr:uid="{2DF65828-3699-4B4A-8BC2-605B87EF05C3}"/>
    <hyperlink ref="E15" location="'Opciones de Respuesta'!E44" display="'Opciones de Respuesta'!E44" xr:uid="{5DCC4D6C-1D58-4C84-96E6-B937C78A298D}"/>
    <hyperlink ref="E16" location="'Opciones de Respuesta'!E45" display="'Opciones de Respuesta'!E45" xr:uid="{768A7F31-97E0-461D-80C8-AA959D3182F6}"/>
    <hyperlink ref="E3" location="'Opciones de Respuesta'!E5" display="'Opciones de Respuesta'!E5" xr:uid="{D724408D-C219-47AE-8A45-CA4F44C0FD5E}"/>
    <hyperlink ref="E4" location="'Opciones de Respuesta'!E10" display="'Opciones de Respuesta'!E10" xr:uid="{F52E5B1A-13B2-45E4-87C1-E577F32AA73F}"/>
    <hyperlink ref="E5" location="'Opciones de Respuesta'!E11" display="'Opciones de Respuesta'!E11" xr:uid="{AE070BA8-E7C8-43CB-AFDA-AEDFEBC4211B}"/>
    <hyperlink ref="E6" location="'Opciones de Respuesta'!E16" display="'Opciones de Respuesta'!E16" xr:uid="{3567B0E8-3446-4C4E-96C3-D84468BC811A}"/>
    <hyperlink ref="E7" location="'Opciones de Respuesta'!E18" display="'Opciones de Respuesta'!E18" xr:uid="{11324214-527F-470C-9912-5CEF2EB0A437}"/>
    <hyperlink ref="E8" location="'Opciones de Respuesta'!E22" display="'Opciones de Respuesta'!E22" xr:uid="{D709A209-031A-425D-B56B-97653CE62D42}"/>
    <hyperlink ref="E9" location="'Opciones de Respuesta'!E25" display="'Opciones de Respuesta'!E25" xr:uid="{BECAD690-84FB-4D77-810C-8C4072B2228F}"/>
    <hyperlink ref="E10" location="'Opciones de Respuesta'!E27" display="'Opciones de Respuesta'!E27" xr:uid="{5EECDEE6-6EE9-4C54-86C4-EC351EADE2A7}"/>
    <hyperlink ref="E11" location="'Opciones de Respuesta'!E31" display="'Opciones de Respuesta'!E31" xr:uid="{DAB208F0-3BE6-43F2-88EF-A8317BCD8257}"/>
    <hyperlink ref="E12" location="'Opciones de Respuesta'!E35" display="'Opciones de Respuesta'!E35" xr:uid="{C490B984-A310-4C54-ADB6-BEB69C08EE96}"/>
    <hyperlink ref="E13" location="'Opciones de Respuesta'!E38" display="'Opciones de Respuesta'!E38" xr:uid="{B9D3E555-F362-4F4C-A28D-A388C84A94F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091E3-BFE1-45C4-9577-3D0806E80804}">
  <dimension ref="A1:F67"/>
  <sheetViews>
    <sheetView zoomScale="70" zoomScaleNormal="70" workbookViewId="0">
      <selection activeCell="B2" sqref="B2"/>
    </sheetView>
  </sheetViews>
  <sheetFormatPr defaultColWidth="11.42578125" defaultRowHeight="15"/>
  <cols>
    <col min="1" max="1" width="13" customWidth="1"/>
    <col min="2" max="2" width="63.7109375" customWidth="1"/>
    <col min="4" max="5" width="72" customWidth="1"/>
    <col min="6" max="6" width="74.42578125" customWidth="1"/>
  </cols>
  <sheetData>
    <row r="1" spans="1:6">
      <c r="A1" s="48" t="s">
        <v>29</v>
      </c>
      <c r="B1" s="49" t="s">
        <v>79</v>
      </c>
      <c r="C1" s="49" t="s">
        <v>80</v>
      </c>
      <c r="D1" s="49" t="s">
        <v>81</v>
      </c>
      <c r="E1" s="64" t="s">
        <v>68</v>
      </c>
      <c r="F1" s="50" t="s">
        <v>33</v>
      </c>
    </row>
    <row r="2" spans="1:6">
      <c r="A2" s="51">
        <v>1</v>
      </c>
      <c r="B2" s="55" t="str">
        <f>Estimulo!G2</f>
        <v>Estimulo El Suelo es Lava - Nivel 1 - 1</v>
      </c>
      <c r="C2" s="35">
        <v>1</v>
      </c>
      <c r="D2" s="33" t="s">
        <v>82</v>
      </c>
      <c r="E2" s="65" t="s">
        <v>83</v>
      </c>
      <c r="F2" s="21" t="str">
        <f>B2&amp;" - Opcion "&amp;C2</f>
        <v>Estimulo El Suelo es Lava - Nivel 1 - 1 - Opcion 1</v>
      </c>
    </row>
    <row r="3" spans="1:6">
      <c r="A3" s="51">
        <v>2</v>
      </c>
      <c r="B3" s="55" t="str">
        <f>Estimulo!G2</f>
        <v>Estimulo El Suelo es Lava - Nivel 1 - 1</v>
      </c>
      <c r="C3" s="35">
        <v>2</v>
      </c>
      <c r="D3" s="33" t="s">
        <v>84</v>
      </c>
      <c r="E3" s="65" t="s">
        <v>85</v>
      </c>
      <c r="F3" s="21" t="str">
        <f t="shared" ref="F3:F66" si="0">B3&amp;" - Opcion "&amp;C3</f>
        <v>Estimulo El Suelo es Lava - Nivel 1 - 1 - Opcion 2</v>
      </c>
    </row>
    <row r="4" spans="1:6">
      <c r="A4" s="51">
        <v>3</v>
      </c>
      <c r="B4" s="55" t="str">
        <f>Estimulo!G2</f>
        <v>Estimulo El Suelo es Lava - Nivel 1 - 1</v>
      </c>
      <c r="C4" s="35">
        <v>3</v>
      </c>
      <c r="D4" s="33" t="s">
        <v>86</v>
      </c>
      <c r="E4" s="65" t="s">
        <v>83</v>
      </c>
      <c r="F4" s="21" t="str">
        <f t="shared" si="0"/>
        <v>Estimulo El Suelo es Lava - Nivel 1 - 1 - Opcion 3</v>
      </c>
    </row>
    <row r="5" spans="1:6">
      <c r="A5" s="51">
        <v>4</v>
      </c>
      <c r="B5" s="55" t="str">
        <f>Estimulo!G3</f>
        <v>Estimulo El Suelo es Lava - Nivel 1 - 2</v>
      </c>
      <c r="C5" s="35">
        <v>1</v>
      </c>
      <c r="D5" s="33" t="s">
        <v>82</v>
      </c>
      <c r="E5" s="65" t="s">
        <v>85</v>
      </c>
      <c r="F5" s="21" t="str">
        <f t="shared" si="0"/>
        <v>Estimulo El Suelo es Lava - Nivel 1 - 2 - Opcion 1</v>
      </c>
    </row>
    <row r="6" spans="1:6">
      <c r="A6" s="51">
        <v>5</v>
      </c>
      <c r="B6" s="55" t="str">
        <f>Estimulo!G3</f>
        <v>Estimulo El Suelo es Lava - Nivel 1 - 2</v>
      </c>
      <c r="C6" s="35">
        <v>2</v>
      </c>
      <c r="D6" s="33" t="s">
        <v>87</v>
      </c>
      <c r="E6" s="65" t="s">
        <v>83</v>
      </c>
      <c r="F6" s="21" t="str">
        <f t="shared" si="0"/>
        <v>Estimulo El Suelo es Lava - Nivel 1 - 2 - Opcion 2</v>
      </c>
    </row>
    <row r="7" spans="1:6">
      <c r="A7" s="51">
        <v>6</v>
      </c>
      <c r="B7" s="55" t="str">
        <f>Estimulo!G3</f>
        <v>Estimulo El Suelo es Lava - Nivel 1 - 2</v>
      </c>
      <c r="C7" s="35">
        <v>3</v>
      </c>
      <c r="D7" s="33" t="s">
        <v>87</v>
      </c>
      <c r="E7" s="65" t="s">
        <v>83</v>
      </c>
      <c r="F7" s="21" t="str">
        <f t="shared" si="0"/>
        <v>Estimulo El Suelo es Lava - Nivel 1 - 2 - Opcion 3</v>
      </c>
    </row>
    <row r="8" spans="1:6">
      <c r="A8" s="51">
        <v>7</v>
      </c>
      <c r="B8" s="55" t="str">
        <f>Estimulo!G4</f>
        <v>Estimulo El Suelo es Lava - Nivel 1 - 3</v>
      </c>
      <c r="C8" s="35">
        <v>1</v>
      </c>
      <c r="D8" s="33" t="s">
        <v>84</v>
      </c>
      <c r="E8" s="65" t="s">
        <v>83</v>
      </c>
      <c r="F8" s="21" t="str">
        <f t="shared" si="0"/>
        <v>Estimulo El Suelo es Lava - Nivel 1 - 3 - Opcion 1</v>
      </c>
    </row>
    <row r="9" spans="1:6">
      <c r="A9" s="51">
        <v>8</v>
      </c>
      <c r="B9" s="55" t="str">
        <f>Estimulo!G4</f>
        <v>Estimulo El Suelo es Lava - Nivel 1 - 3</v>
      </c>
      <c r="C9" s="35">
        <v>2</v>
      </c>
      <c r="D9" s="33" t="s">
        <v>84</v>
      </c>
      <c r="E9" s="65" t="s">
        <v>83</v>
      </c>
      <c r="F9" s="21" t="str">
        <f t="shared" si="0"/>
        <v>Estimulo El Suelo es Lava - Nivel 1 - 3 - Opcion 2</v>
      </c>
    </row>
    <row r="10" spans="1:6">
      <c r="A10" s="51">
        <v>9</v>
      </c>
      <c r="B10" s="55" t="str">
        <f>Estimulo!G4</f>
        <v>Estimulo El Suelo es Lava - Nivel 1 - 3</v>
      </c>
      <c r="C10" s="35">
        <v>3</v>
      </c>
      <c r="D10" s="33" t="s">
        <v>88</v>
      </c>
      <c r="E10" s="65" t="s">
        <v>85</v>
      </c>
      <c r="F10" s="21" t="str">
        <f t="shared" si="0"/>
        <v>Estimulo El Suelo es Lava - Nivel 1 - 3 - Opcion 3</v>
      </c>
    </row>
    <row r="11" spans="1:6">
      <c r="A11" s="51">
        <v>10</v>
      </c>
      <c r="B11" s="55" t="str">
        <f>Estimulo!G5</f>
        <v>Estimulo El Suelo es Lava - Nivel 1 - 4</v>
      </c>
      <c r="C11" s="35">
        <v>1</v>
      </c>
      <c r="D11" s="33" t="s">
        <v>89</v>
      </c>
      <c r="E11" s="65" t="s">
        <v>85</v>
      </c>
      <c r="F11" s="21" t="str">
        <f t="shared" si="0"/>
        <v>Estimulo El Suelo es Lava - Nivel 1 - 4 - Opcion 1</v>
      </c>
    </row>
    <row r="12" spans="1:6">
      <c r="A12" s="51">
        <v>11</v>
      </c>
      <c r="B12" s="55" t="str">
        <f>Estimulo!G5</f>
        <v>Estimulo El Suelo es Lava - Nivel 1 - 4</v>
      </c>
      <c r="C12" s="35">
        <v>2</v>
      </c>
      <c r="D12" s="33" t="s">
        <v>87</v>
      </c>
      <c r="E12" s="65" t="s">
        <v>83</v>
      </c>
      <c r="F12" s="21" t="str">
        <f t="shared" si="0"/>
        <v>Estimulo El Suelo es Lava - Nivel 1 - 4 - Opcion 2</v>
      </c>
    </row>
    <row r="13" spans="1:6">
      <c r="A13" s="51">
        <v>12</v>
      </c>
      <c r="B13" s="55" t="str">
        <f>Estimulo!G5</f>
        <v>Estimulo El Suelo es Lava - Nivel 1 - 4</v>
      </c>
      <c r="C13" s="35">
        <v>3</v>
      </c>
      <c r="D13" s="33" t="s">
        <v>87</v>
      </c>
      <c r="E13" s="65" t="s">
        <v>83</v>
      </c>
      <c r="F13" s="21" t="str">
        <f t="shared" si="0"/>
        <v>Estimulo El Suelo es Lava - Nivel 1 - 4 - Opcion 3</v>
      </c>
    </row>
    <row r="14" spans="1:6">
      <c r="A14" s="51">
        <v>13</v>
      </c>
      <c r="B14" s="55" t="str">
        <f>Estimulo!G6</f>
        <v>Estimulo El Suelo es Lava - Nivel 1 - 5</v>
      </c>
      <c r="C14" s="35">
        <v>1</v>
      </c>
      <c r="D14" s="33" t="s">
        <v>90</v>
      </c>
      <c r="E14" s="65" t="s">
        <v>83</v>
      </c>
      <c r="F14" s="21" t="str">
        <f t="shared" si="0"/>
        <v>Estimulo El Suelo es Lava - Nivel 1 - 5 - Opcion 1</v>
      </c>
    </row>
    <row r="15" spans="1:6">
      <c r="A15" s="51">
        <v>14</v>
      </c>
      <c r="B15" s="55" t="str">
        <f>Estimulo!G6</f>
        <v>Estimulo El Suelo es Lava - Nivel 1 - 5</v>
      </c>
      <c r="C15" s="35">
        <v>2</v>
      </c>
      <c r="D15" s="33" t="s">
        <v>90</v>
      </c>
      <c r="E15" s="65" t="s">
        <v>83</v>
      </c>
      <c r="F15" s="21" t="str">
        <f t="shared" si="0"/>
        <v>Estimulo El Suelo es Lava - Nivel 1 - 5 - Opcion 2</v>
      </c>
    </row>
    <row r="16" spans="1:6">
      <c r="A16" s="51">
        <v>15</v>
      </c>
      <c r="B16" s="55" t="str">
        <f>Estimulo!G6</f>
        <v>Estimulo El Suelo es Lava - Nivel 1 - 5</v>
      </c>
      <c r="C16" s="35">
        <v>3</v>
      </c>
      <c r="D16" s="33" t="s">
        <v>89</v>
      </c>
      <c r="E16" s="65" t="s">
        <v>85</v>
      </c>
      <c r="F16" s="21" t="str">
        <f t="shared" si="0"/>
        <v>Estimulo El Suelo es Lava - Nivel 1 - 5 - Opcion 3</v>
      </c>
    </row>
    <row r="17" spans="1:6">
      <c r="A17" s="51">
        <v>16</v>
      </c>
      <c r="B17" s="55" t="str">
        <f>Estimulo!G7</f>
        <v>Estimulo El Suelo es Lava - Nivel 1 - 6</v>
      </c>
      <c r="C17" s="35">
        <v>1</v>
      </c>
      <c r="D17" s="33" t="s">
        <v>91</v>
      </c>
      <c r="E17" s="65" t="s">
        <v>83</v>
      </c>
      <c r="F17" s="21" t="str">
        <f t="shared" si="0"/>
        <v>Estimulo El Suelo es Lava - Nivel 1 - 6 - Opcion 1</v>
      </c>
    </row>
    <row r="18" spans="1:6">
      <c r="A18" s="51">
        <v>17</v>
      </c>
      <c r="B18" s="55" t="str">
        <f>Estimulo!G7</f>
        <v>Estimulo El Suelo es Lava - Nivel 1 - 6</v>
      </c>
      <c r="C18" s="35">
        <v>2</v>
      </c>
      <c r="D18" s="33" t="s">
        <v>90</v>
      </c>
      <c r="E18" s="65" t="s">
        <v>85</v>
      </c>
      <c r="F18" s="21" t="str">
        <f t="shared" si="0"/>
        <v>Estimulo El Suelo es Lava - Nivel 1 - 6 - Opcion 2</v>
      </c>
    </row>
    <row r="19" spans="1:6">
      <c r="A19" s="51">
        <v>18</v>
      </c>
      <c r="B19" s="55" t="str">
        <f>Estimulo!G7</f>
        <v>Estimulo El Suelo es Lava - Nivel 1 - 6</v>
      </c>
      <c r="C19" s="35">
        <v>3</v>
      </c>
      <c r="D19" s="33" t="s">
        <v>91</v>
      </c>
      <c r="E19" s="65" t="s">
        <v>83</v>
      </c>
      <c r="F19" s="21" t="str">
        <f t="shared" si="0"/>
        <v>Estimulo El Suelo es Lava - Nivel 1 - 6 - Opcion 3</v>
      </c>
    </row>
    <row r="20" spans="1:6">
      <c r="A20" s="51">
        <v>19</v>
      </c>
      <c r="B20" s="55" t="str">
        <f>Estimulo!G8</f>
        <v>Estimulo El Suelo es Lava - Nivel 1 - 7</v>
      </c>
      <c r="C20" s="35">
        <v>1</v>
      </c>
      <c r="D20" s="33" t="s">
        <v>89</v>
      </c>
      <c r="E20" s="65" t="s">
        <v>83</v>
      </c>
      <c r="F20" s="21" t="str">
        <f t="shared" si="0"/>
        <v>Estimulo El Suelo es Lava - Nivel 1 - 7 - Opcion 1</v>
      </c>
    </row>
    <row r="21" spans="1:6">
      <c r="A21" s="51">
        <v>20</v>
      </c>
      <c r="B21" s="55" t="str">
        <f>Estimulo!G8</f>
        <v>Estimulo El Suelo es Lava - Nivel 1 - 7</v>
      </c>
      <c r="C21" s="35">
        <v>2</v>
      </c>
      <c r="D21" s="33" t="s">
        <v>90</v>
      </c>
      <c r="E21" s="65" t="s">
        <v>83</v>
      </c>
      <c r="F21" s="21" t="str">
        <f t="shared" si="0"/>
        <v>Estimulo El Suelo es Lava - Nivel 1 - 7 - Opcion 2</v>
      </c>
    </row>
    <row r="22" spans="1:6">
      <c r="A22" s="51">
        <v>21</v>
      </c>
      <c r="B22" s="55" t="str">
        <f>Estimulo!G8</f>
        <v>Estimulo El Suelo es Lava - Nivel 1 - 7</v>
      </c>
      <c r="C22" s="35">
        <v>3</v>
      </c>
      <c r="D22" s="33" t="s">
        <v>84</v>
      </c>
      <c r="E22" s="65" t="s">
        <v>85</v>
      </c>
      <c r="F22" s="21" t="str">
        <f t="shared" si="0"/>
        <v>Estimulo El Suelo es Lava - Nivel 1 - 7 - Opcion 3</v>
      </c>
    </row>
    <row r="23" spans="1:6">
      <c r="A23" s="51">
        <v>22</v>
      </c>
      <c r="B23" s="55" t="str">
        <f>Estimulo!G9</f>
        <v>Estimulo El Suelo es Lava - Nivel 2 - 1</v>
      </c>
      <c r="C23" s="35">
        <v>1</v>
      </c>
      <c r="D23" s="33" t="s">
        <v>92</v>
      </c>
      <c r="E23" s="65" t="s">
        <v>83</v>
      </c>
      <c r="F23" s="21" t="str">
        <f t="shared" si="0"/>
        <v>Estimulo El Suelo es Lava - Nivel 2 - 1 - Opcion 1</v>
      </c>
    </row>
    <row r="24" spans="1:6">
      <c r="A24" s="51">
        <v>23</v>
      </c>
      <c r="B24" s="55" t="str">
        <f>Estimulo!G9</f>
        <v>Estimulo El Suelo es Lava - Nivel 2 - 1</v>
      </c>
      <c r="C24" s="35">
        <v>2</v>
      </c>
      <c r="D24" s="33" t="s">
        <v>92</v>
      </c>
      <c r="E24" s="65" t="s">
        <v>83</v>
      </c>
      <c r="F24" s="21" t="str">
        <f t="shared" si="0"/>
        <v>Estimulo El Suelo es Lava - Nivel 2 - 1 - Opcion 2</v>
      </c>
    </row>
    <row r="25" spans="1:6">
      <c r="A25" s="51">
        <v>24</v>
      </c>
      <c r="B25" s="55" t="str">
        <f>Estimulo!G9</f>
        <v>Estimulo El Suelo es Lava - Nivel 2 - 1</v>
      </c>
      <c r="C25" s="35">
        <v>3</v>
      </c>
      <c r="D25" s="33" t="s">
        <v>93</v>
      </c>
      <c r="E25" s="65" t="s">
        <v>85</v>
      </c>
      <c r="F25" s="21" t="str">
        <f t="shared" si="0"/>
        <v>Estimulo El Suelo es Lava - Nivel 2 - 1 - Opcion 3</v>
      </c>
    </row>
    <row r="26" spans="1:6">
      <c r="A26" s="51">
        <v>25</v>
      </c>
      <c r="B26" s="55" t="str">
        <f>Estimulo!G10</f>
        <v>Estimulo El Suelo es Lava - Nivel 2 - 2</v>
      </c>
      <c r="C26" s="35">
        <v>1</v>
      </c>
      <c r="D26" s="33" t="s">
        <v>94</v>
      </c>
      <c r="E26" s="65" t="s">
        <v>83</v>
      </c>
      <c r="F26" s="21" t="str">
        <f t="shared" si="0"/>
        <v>Estimulo El Suelo es Lava - Nivel 2 - 2 - Opcion 1</v>
      </c>
    </row>
    <row r="27" spans="1:6">
      <c r="A27" s="51">
        <v>26</v>
      </c>
      <c r="B27" s="55" t="str">
        <f>Estimulo!G10</f>
        <v>Estimulo El Suelo es Lava - Nivel 2 - 2</v>
      </c>
      <c r="C27" s="35">
        <v>2</v>
      </c>
      <c r="D27" s="33" t="s">
        <v>95</v>
      </c>
      <c r="E27" s="65" t="s">
        <v>85</v>
      </c>
      <c r="F27" s="21" t="str">
        <f t="shared" si="0"/>
        <v>Estimulo El Suelo es Lava - Nivel 2 - 2 - Opcion 2</v>
      </c>
    </row>
    <row r="28" spans="1:6">
      <c r="A28" s="51">
        <v>27</v>
      </c>
      <c r="B28" s="55" t="str">
        <f>Estimulo!G10</f>
        <v>Estimulo El Suelo es Lava - Nivel 2 - 2</v>
      </c>
      <c r="C28" s="35">
        <v>3</v>
      </c>
      <c r="D28" s="33" t="s">
        <v>96</v>
      </c>
      <c r="E28" s="65" t="s">
        <v>83</v>
      </c>
      <c r="F28" s="21" t="str">
        <f t="shared" si="0"/>
        <v>Estimulo El Suelo es Lava - Nivel 2 - 2 - Opcion 3</v>
      </c>
    </row>
    <row r="29" spans="1:6">
      <c r="A29" s="51">
        <v>28</v>
      </c>
      <c r="B29" s="55" t="str">
        <f>Estimulo!G11</f>
        <v>Estimulo El Suelo es Lava - Nivel 2 - 3</v>
      </c>
      <c r="C29" s="35">
        <v>1</v>
      </c>
      <c r="D29" s="33" t="s">
        <v>97</v>
      </c>
      <c r="E29" s="65" t="s">
        <v>83</v>
      </c>
      <c r="F29" s="21" t="str">
        <f t="shared" si="0"/>
        <v>Estimulo El Suelo es Lava - Nivel 2 - 3 - Opcion 1</v>
      </c>
    </row>
    <row r="30" spans="1:6">
      <c r="A30" s="51">
        <v>29</v>
      </c>
      <c r="B30" s="55" t="str">
        <f>Estimulo!G11</f>
        <v>Estimulo El Suelo es Lava - Nivel 2 - 3</v>
      </c>
      <c r="C30" s="35">
        <v>2</v>
      </c>
      <c r="D30" s="33" t="s">
        <v>97</v>
      </c>
      <c r="E30" s="65" t="s">
        <v>83</v>
      </c>
      <c r="F30" s="21" t="str">
        <f t="shared" si="0"/>
        <v>Estimulo El Suelo es Lava - Nivel 2 - 3 - Opcion 2</v>
      </c>
    </row>
    <row r="31" spans="1:6">
      <c r="A31" s="51">
        <v>30</v>
      </c>
      <c r="B31" s="55" t="str">
        <f>Estimulo!G11</f>
        <v>Estimulo El Suelo es Lava - Nivel 2 - 3</v>
      </c>
      <c r="C31" s="35">
        <v>3</v>
      </c>
      <c r="D31" s="33" t="s">
        <v>96</v>
      </c>
      <c r="E31" s="65" t="s">
        <v>85</v>
      </c>
      <c r="F31" s="21" t="str">
        <f t="shared" si="0"/>
        <v>Estimulo El Suelo es Lava - Nivel 2 - 3 - Opcion 3</v>
      </c>
    </row>
    <row r="32" spans="1:6">
      <c r="A32" s="51">
        <v>31</v>
      </c>
      <c r="B32" s="55" t="str">
        <f>Estimulo!G12</f>
        <v>Estimulo El Suelo es Lava - Nivel 3 - 1</v>
      </c>
      <c r="C32" s="35">
        <v>1</v>
      </c>
      <c r="D32" s="33" t="s">
        <v>98</v>
      </c>
      <c r="E32" s="65" t="s">
        <v>83</v>
      </c>
      <c r="F32" s="21" t="str">
        <f t="shared" si="0"/>
        <v>Estimulo El Suelo es Lava - Nivel 3 - 1 - Opcion 1</v>
      </c>
    </row>
    <row r="33" spans="1:6">
      <c r="A33" s="51">
        <v>32</v>
      </c>
      <c r="B33" s="55" t="str">
        <f>Estimulo!G12</f>
        <v>Estimulo El Suelo es Lava - Nivel 3 - 1</v>
      </c>
      <c r="C33" s="35">
        <v>2</v>
      </c>
      <c r="D33" s="33" t="s">
        <v>99</v>
      </c>
      <c r="E33" s="65" t="s">
        <v>83</v>
      </c>
      <c r="F33" s="21" t="str">
        <f t="shared" si="0"/>
        <v>Estimulo El Suelo es Lava - Nivel 3 - 1 - Opcion 2</v>
      </c>
    </row>
    <row r="34" spans="1:6">
      <c r="A34" s="51">
        <v>33</v>
      </c>
      <c r="B34" s="55" t="str">
        <f>Estimulo!G12</f>
        <v>Estimulo El Suelo es Lava - Nivel 3 - 1</v>
      </c>
      <c r="C34" s="35">
        <v>3</v>
      </c>
      <c r="D34" s="33" t="s">
        <v>100</v>
      </c>
      <c r="E34" s="65" t="s">
        <v>83</v>
      </c>
      <c r="F34" s="21" t="str">
        <f t="shared" si="0"/>
        <v>Estimulo El Suelo es Lava - Nivel 3 - 1 - Opcion 3</v>
      </c>
    </row>
    <row r="35" spans="1:6">
      <c r="A35" s="51">
        <v>34</v>
      </c>
      <c r="B35" s="55" t="str">
        <f>Estimulo!G12</f>
        <v>Estimulo El Suelo es Lava - Nivel 3 - 1</v>
      </c>
      <c r="C35" s="35">
        <v>4</v>
      </c>
      <c r="D35" s="33" t="s">
        <v>101</v>
      </c>
      <c r="E35" s="65" t="s">
        <v>85</v>
      </c>
      <c r="F35" s="21" t="str">
        <f t="shared" si="0"/>
        <v>Estimulo El Suelo es Lava - Nivel 3 - 1 - Opcion 4</v>
      </c>
    </row>
    <row r="36" spans="1:6">
      <c r="A36" s="51">
        <v>35</v>
      </c>
      <c r="B36" s="55" t="str">
        <f>Estimulo!G13</f>
        <v>Estimulo El Suelo es Lava - Nivel 3 - 2</v>
      </c>
      <c r="C36" s="35">
        <v>1</v>
      </c>
      <c r="D36" s="33" t="s">
        <v>102</v>
      </c>
      <c r="E36" s="65" t="s">
        <v>83</v>
      </c>
      <c r="F36" s="21" t="str">
        <f t="shared" si="0"/>
        <v>Estimulo El Suelo es Lava - Nivel 3 - 2 - Opcion 1</v>
      </c>
    </row>
    <row r="37" spans="1:6">
      <c r="A37" s="51">
        <v>36</v>
      </c>
      <c r="B37" s="55" t="str">
        <f>Estimulo!G13</f>
        <v>Estimulo El Suelo es Lava - Nivel 3 - 2</v>
      </c>
      <c r="C37" s="35">
        <v>2</v>
      </c>
      <c r="D37" s="33" t="s">
        <v>103</v>
      </c>
      <c r="E37" s="65" t="s">
        <v>83</v>
      </c>
      <c r="F37" s="21" t="str">
        <f t="shared" si="0"/>
        <v>Estimulo El Suelo es Lava - Nivel 3 - 2 - Opcion 2</v>
      </c>
    </row>
    <row r="38" spans="1:6">
      <c r="A38" s="51">
        <v>37</v>
      </c>
      <c r="B38" s="55" t="str">
        <f>Estimulo!G13</f>
        <v>Estimulo El Suelo es Lava - Nivel 3 - 2</v>
      </c>
      <c r="C38" s="35">
        <v>3</v>
      </c>
      <c r="D38" s="33" t="s">
        <v>104</v>
      </c>
      <c r="E38" s="65" t="s">
        <v>85</v>
      </c>
      <c r="F38" s="21" t="str">
        <f t="shared" si="0"/>
        <v>Estimulo El Suelo es Lava - Nivel 3 - 2 - Opcion 3</v>
      </c>
    </row>
    <row r="39" spans="1:6">
      <c r="A39" s="51">
        <v>38</v>
      </c>
      <c r="B39" s="55" t="str">
        <f>Estimulo!G13</f>
        <v>Estimulo El Suelo es Lava - Nivel 3 - 2</v>
      </c>
      <c r="C39" s="35">
        <v>4</v>
      </c>
      <c r="D39" s="33" t="s">
        <v>105</v>
      </c>
      <c r="E39" s="65" t="s">
        <v>83</v>
      </c>
      <c r="F39" s="21" t="str">
        <f t="shared" si="0"/>
        <v>Estimulo El Suelo es Lava - Nivel 3 - 2 - Opcion 4</v>
      </c>
    </row>
    <row r="40" spans="1:6">
      <c r="A40" s="51">
        <v>39</v>
      </c>
      <c r="B40" s="55" t="str">
        <f>Estimulo!G14</f>
        <v>Estimulo Los Secretos del Chef - Nivel 1 - 1</v>
      </c>
      <c r="C40" s="35">
        <v>1</v>
      </c>
      <c r="D40" s="33" t="s">
        <v>106</v>
      </c>
      <c r="E40" s="65" t="s">
        <v>85</v>
      </c>
      <c r="F40" s="21" t="str">
        <f t="shared" si="0"/>
        <v>Estimulo Los Secretos del Chef - Nivel 1 - 1 - Opcion 1</v>
      </c>
    </row>
    <row r="41" spans="1:6">
      <c r="A41" s="51">
        <v>40</v>
      </c>
      <c r="B41" s="55" t="str">
        <f>Estimulo!G15</f>
        <v>Estimulo Los Secretos del Chef - Nivel 2 - 1</v>
      </c>
      <c r="C41" s="35">
        <v>1</v>
      </c>
      <c r="D41" s="33" t="s">
        <v>107</v>
      </c>
      <c r="E41" s="65" t="s">
        <v>83</v>
      </c>
      <c r="F41" s="21" t="str">
        <f t="shared" si="0"/>
        <v>Estimulo Los Secretos del Chef - Nivel 2 - 1 - Opcion 1</v>
      </c>
    </row>
    <row r="42" spans="1:6">
      <c r="A42" s="51">
        <v>41</v>
      </c>
      <c r="B42" s="55" t="str">
        <f>Estimulo!G15</f>
        <v>Estimulo Los Secretos del Chef - Nivel 2 - 1</v>
      </c>
      <c r="C42" s="35">
        <v>2</v>
      </c>
      <c r="D42" s="33" t="s">
        <v>108</v>
      </c>
      <c r="E42" s="65" t="s">
        <v>83</v>
      </c>
      <c r="F42" s="21" t="str">
        <f t="shared" si="0"/>
        <v>Estimulo Los Secretos del Chef - Nivel 2 - 1 - Opcion 2</v>
      </c>
    </row>
    <row r="43" spans="1:6">
      <c r="A43" s="51">
        <v>42</v>
      </c>
      <c r="B43" s="55" t="str">
        <f>Estimulo!G15</f>
        <v>Estimulo Los Secretos del Chef - Nivel 2 - 1</v>
      </c>
      <c r="C43" s="35">
        <v>3</v>
      </c>
      <c r="D43" s="33" t="s">
        <v>109</v>
      </c>
      <c r="E43" s="65" t="s">
        <v>83</v>
      </c>
      <c r="F43" s="21" t="str">
        <f t="shared" si="0"/>
        <v>Estimulo Los Secretos del Chef - Nivel 2 - 1 - Opcion 3</v>
      </c>
    </row>
    <row r="44" spans="1:6">
      <c r="A44" s="51">
        <v>43</v>
      </c>
      <c r="B44" s="55" t="str">
        <f>Estimulo!G15</f>
        <v>Estimulo Los Secretos del Chef - Nivel 2 - 1</v>
      </c>
      <c r="C44" s="35">
        <v>4</v>
      </c>
      <c r="D44" s="33" t="s">
        <v>110</v>
      </c>
      <c r="E44" s="65" t="s">
        <v>85</v>
      </c>
      <c r="F44" s="21" t="str">
        <f t="shared" si="0"/>
        <v>Estimulo Los Secretos del Chef - Nivel 2 - 1 - Opcion 4</v>
      </c>
    </row>
    <row r="45" spans="1:6">
      <c r="A45" s="51">
        <v>44</v>
      </c>
      <c r="B45" s="55" t="str">
        <f>Estimulo!G16</f>
        <v>Estimulo Los Secretos del Chef - Nivel 3 - 1</v>
      </c>
      <c r="C45" s="35">
        <v>1</v>
      </c>
      <c r="D45" s="33" t="s">
        <v>111</v>
      </c>
      <c r="E45" s="65" t="s">
        <v>85</v>
      </c>
      <c r="F45" s="21" t="str">
        <f t="shared" si="0"/>
        <v>Estimulo Los Secretos del Chef - Nivel 3 - 1 - Opcion 1</v>
      </c>
    </row>
    <row r="46" spans="1:6">
      <c r="A46" s="51">
        <v>45</v>
      </c>
      <c r="B46" s="55" t="str">
        <f>Estimulo!G17</f>
        <v>Estimulo Clonacion - Nivel 1 - 1</v>
      </c>
      <c r="C46" s="35">
        <v>1</v>
      </c>
      <c r="D46" s="33" t="s">
        <v>112</v>
      </c>
      <c r="E46" s="65" t="s">
        <v>85</v>
      </c>
      <c r="F46" s="21" t="str">
        <f t="shared" si="0"/>
        <v>Estimulo Clonacion - Nivel 1 - 1 - Opcion 1</v>
      </c>
    </row>
    <row r="47" spans="1:6">
      <c r="A47" s="51">
        <v>46</v>
      </c>
      <c r="B47" s="55" t="str">
        <f>Estimulo!G18</f>
        <v>Estimulo Clonacion - Nivel 1 - 2</v>
      </c>
      <c r="C47" s="35">
        <v>1</v>
      </c>
      <c r="D47" s="33" t="s">
        <v>113</v>
      </c>
      <c r="E47" s="65" t="s">
        <v>83</v>
      </c>
      <c r="F47" s="21" t="str">
        <f t="shared" si="0"/>
        <v>Estimulo Clonacion - Nivel 1 - 2 - Opcion 1</v>
      </c>
    </row>
    <row r="48" spans="1:6">
      <c r="A48" s="51">
        <v>47</v>
      </c>
      <c r="B48" s="55" t="str">
        <f>Estimulo!G18</f>
        <v>Estimulo Clonacion - Nivel 1 - 2</v>
      </c>
      <c r="C48" s="35">
        <v>2</v>
      </c>
      <c r="D48" s="33" t="s">
        <v>114</v>
      </c>
      <c r="E48" s="65" t="s">
        <v>83</v>
      </c>
      <c r="F48" s="21" t="str">
        <f t="shared" si="0"/>
        <v>Estimulo Clonacion - Nivel 1 - 2 - Opcion 2</v>
      </c>
    </row>
    <row r="49" spans="1:6">
      <c r="A49" s="51">
        <v>48</v>
      </c>
      <c r="B49" s="55" t="str">
        <f>Estimulo!G18</f>
        <v>Estimulo Clonacion - Nivel 1 - 2</v>
      </c>
      <c r="C49" s="35">
        <v>3</v>
      </c>
      <c r="D49" s="33" t="s">
        <v>115</v>
      </c>
      <c r="E49" s="65" t="s">
        <v>85</v>
      </c>
      <c r="F49" s="21" t="str">
        <f t="shared" si="0"/>
        <v>Estimulo Clonacion - Nivel 1 - 2 - Opcion 3</v>
      </c>
    </row>
    <row r="50" spans="1:6">
      <c r="A50" s="51">
        <v>49</v>
      </c>
      <c r="B50" s="55" t="str">
        <f>Estimulo!G18</f>
        <v>Estimulo Clonacion - Nivel 1 - 2</v>
      </c>
      <c r="C50" s="35">
        <v>4</v>
      </c>
      <c r="D50" s="33" t="s">
        <v>116</v>
      </c>
      <c r="E50" s="65" t="s">
        <v>83</v>
      </c>
      <c r="F50" s="21" t="str">
        <f t="shared" si="0"/>
        <v>Estimulo Clonacion - Nivel 1 - 2 - Opcion 4</v>
      </c>
    </row>
    <row r="51" spans="1:6">
      <c r="A51" s="51">
        <v>50</v>
      </c>
      <c r="B51" s="55" t="str">
        <f>Estimulo!G19</f>
        <v>Estimulo Clonacion - Nivel 1 - 3</v>
      </c>
      <c r="C51" s="35">
        <v>1</v>
      </c>
      <c r="D51" s="33" t="s">
        <v>117</v>
      </c>
      <c r="E51" s="65" t="s">
        <v>85</v>
      </c>
      <c r="F51" s="21" t="str">
        <f t="shared" si="0"/>
        <v>Estimulo Clonacion - Nivel 1 - 3 - Opcion 1</v>
      </c>
    </row>
    <row r="52" spans="1:6">
      <c r="A52" s="51">
        <v>51</v>
      </c>
      <c r="B52" s="55" t="str">
        <f>Estimulo!G19</f>
        <v>Estimulo Clonacion - Nivel 1 - 3</v>
      </c>
      <c r="C52" s="35">
        <v>2</v>
      </c>
      <c r="D52" s="33" t="s">
        <v>118</v>
      </c>
      <c r="E52" s="65" t="s">
        <v>83</v>
      </c>
      <c r="F52" s="21" t="str">
        <f t="shared" si="0"/>
        <v>Estimulo Clonacion - Nivel 1 - 3 - Opcion 2</v>
      </c>
    </row>
    <row r="53" spans="1:6">
      <c r="A53" s="51">
        <v>52</v>
      </c>
      <c r="B53" s="55" t="str">
        <f>Estimulo!G19</f>
        <v>Estimulo Clonacion - Nivel 1 - 3</v>
      </c>
      <c r="C53" s="35">
        <v>3</v>
      </c>
      <c r="D53" s="33" t="s">
        <v>119</v>
      </c>
      <c r="E53" s="65" t="s">
        <v>83</v>
      </c>
      <c r="F53" s="21" t="str">
        <f t="shared" si="0"/>
        <v>Estimulo Clonacion - Nivel 1 - 3 - Opcion 3</v>
      </c>
    </row>
    <row r="54" spans="1:6">
      <c r="A54" s="51">
        <v>53</v>
      </c>
      <c r="B54" s="55" t="str">
        <f>Estimulo!G19</f>
        <v>Estimulo Clonacion - Nivel 1 - 3</v>
      </c>
      <c r="C54" s="35">
        <v>4</v>
      </c>
      <c r="D54" s="33" t="s">
        <v>120</v>
      </c>
      <c r="E54" s="65" t="s">
        <v>83</v>
      </c>
      <c r="F54" s="21" t="str">
        <f t="shared" si="0"/>
        <v>Estimulo Clonacion - Nivel 1 - 3 - Opcion 4</v>
      </c>
    </row>
    <row r="55" spans="1:6">
      <c r="A55" s="51">
        <v>54</v>
      </c>
      <c r="B55" s="55" t="str">
        <f>Estimulo!G20</f>
        <v>Estimulo Todo en Orden - Nivel 1 - 1</v>
      </c>
      <c r="C55" s="35">
        <v>1</v>
      </c>
      <c r="D55" s="33" t="s">
        <v>121</v>
      </c>
      <c r="E55" s="65" t="s">
        <v>85</v>
      </c>
      <c r="F55" s="21" t="str">
        <f t="shared" si="0"/>
        <v>Estimulo Todo en Orden - Nivel 1 - 1 - Opcion 1</v>
      </c>
    </row>
    <row r="56" spans="1:6">
      <c r="A56" s="51">
        <v>55</v>
      </c>
      <c r="B56" s="55" t="str">
        <f>Estimulo!G21</f>
        <v>Estimulo Todo en Orden - Nivel 2 - 1</v>
      </c>
      <c r="C56" s="35">
        <v>1</v>
      </c>
      <c r="D56" s="33" t="s">
        <v>122</v>
      </c>
      <c r="E56" s="65" t="s">
        <v>85</v>
      </c>
      <c r="F56" s="21" t="str">
        <f t="shared" si="0"/>
        <v>Estimulo Todo en Orden - Nivel 2 - 1 - Opcion 1</v>
      </c>
    </row>
    <row r="57" spans="1:6">
      <c r="A57" s="51">
        <v>56</v>
      </c>
      <c r="B57" s="55" t="str">
        <f>Estimulo!G22</f>
        <v>Estimulo Todo en Orden - Nivel 3 - 1</v>
      </c>
      <c r="C57" s="35">
        <v>1</v>
      </c>
      <c r="D57" s="33" t="s">
        <v>123</v>
      </c>
      <c r="E57" s="65" t="s">
        <v>85</v>
      </c>
      <c r="F57" s="21" t="str">
        <f t="shared" si="0"/>
        <v>Estimulo Todo en Orden - Nivel 3 - 1 - Opcion 1</v>
      </c>
    </row>
    <row r="58" spans="1:6">
      <c r="A58" s="51">
        <v>57</v>
      </c>
      <c r="B58" s="55" t="str">
        <f>Estimulo!G23</f>
        <v>Estimulo Todo en Orden - Nivel 3 - 2</v>
      </c>
      <c r="C58" s="35">
        <v>2</v>
      </c>
      <c r="D58" s="33" t="s">
        <v>124</v>
      </c>
      <c r="E58" s="65" t="s">
        <v>85</v>
      </c>
      <c r="F58" s="21" t="str">
        <f t="shared" si="0"/>
        <v>Estimulo Todo en Orden - Nivel 3 - 2 - Opcion 2</v>
      </c>
    </row>
    <row r="59" spans="1:6">
      <c r="A59" s="51">
        <v>58</v>
      </c>
      <c r="B59" s="55" t="str">
        <f>Estimulo!G24</f>
        <v>Estimulo Todo en Orden - Nivel 3 - 3</v>
      </c>
      <c r="C59" s="35">
        <v>3</v>
      </c>
      <c r="D59" s="33" t="s">
        <v>125</v>
      </c>
      <c r="E59" s="65" t="s">
        <v>85</v>
      </c>
      <c r="F59" s="21" t="str">
        <f t="shared" si="0"/>
        <v>Estimulo Todo en Orden - Nivel 3 - 3 - Opcion 3</v>
      </c>
    </row>
    <row r="60" spans="1:6">
      <c r="A60" s="51">
        <v>59</v>
      </c>
      <c r="B60" s="55" t="str">
        <f>Estimulo!G25</f>
        <v>Estimulo Todo en Orden - Nivel 3 - 4</v>
      </c>
      <c r="C60" s="35">
        <v>4</v>
      </c>
      <c r="D60" s="33" t="s">
        <v>126</v>
      </c>
      <c r="E60" s="65" t="s">
        <v>85</v>
      </c>
      <c r="F60" s="21" t="str">
        <f t="shared" si="0"/>
        <v>Estimulo Todo en Orden - Nivel 3 - 4 - Opcion 4</v>
      </c>
    </row>
    <row r="61" spans="1:6">
      <c r="A61" s="51">
        <v>60</v>
      </c>
      <c r="B61" s="55" t="str">
        <f>Estimulo!G26</f>
        <v>Estimulo Todo en Orden - Nivel 3 - 5</v>
      </c>
      <c r="C61" s="35">
        <v>5</v>
      </c>
      <c r="D61" s="33" t="s">
        <v>127</v>
      </c>
      <c r="E61" s="65" t="s">
        <v>85</v>
      </c>
      <c r="F61" s="21" t="str">
        <f t="shared" si="0"/>
        <v>Estimulo Todo en Orden - Nivel 3 - 5 - Opcion 5</v>
      </c>
    </row>
    <row r="62" spans="1:6">
      <c r="A62" s="51">
        <v>61</v>
      </c>
      <c r="B62" s="55" t="str">
        <f>Estimulo!G27</f>
        <v>Estimulo Todo en Orden - Nivel 3 - 6</v>
      </c>
      <c r="C62" s="35">
        <v>6</v>
      </c>
      <c r="D62" s="33" t="s">
        <v>128</v>
      </c>
      <c r="E62" s="65" t="s">
        <v>85</v>
      </c>
      <c r="F62" s="21" t="str">
        <f t="shared" si="0"/>
        <v>Estimulo Todo en Orden - Nivel 3 - 6 - Opcion 6</v>
      </c>
    </row>
    <row r="63" spans="1:6">
      <c r="A63" s="51">
        <v>62</v>
      </c>
      <c r="B63" s="55" t="str">
        <f>Estimulo!G28</f>
        <v>Estimulo Todo en Orden - Nivel 3 - 7</v>
      </c>
      <c r="C63" s="35">
        <v>7</v>
      </c>
      <c r="D63" s="33" t="s">
        <v>129</v>
      </c>
      <c r="E63" s="65" t="s">
        <v>85</v>
      </c>
      <c r="F63" s="21" t="str">
        <f t="shared" si="0"/>
        <v>Estimulo Todo en Orden - Nivel 3 - 7 - Opcion 7</v>
      </c>
    </row>
    <row r="64" spans="1:6">
      <c r="A64" s="51">
        <v>63</v>
      </c>
      <c r="B64" s="55" t="str">
        <f>Estimulo!G29</f>
        <v>Estimulo Todo en Orden - Nivel 3 - 8</v>
      </c>
      <c r="C64" s="35">
        <v>8</v>
      </c>
      <c r="D64" s="33" t="s">
        <v>130</v>
      </c>
      <c r="E64" s="65" t="s">
        <v>85</v>
      </c>
      <c r="F64" s="21" t="str">
        <f t="shared" si="0"/>
        <v>Estimulo Todo en Orden - Nivel 3 - 8 - Opcion 8</v>
      </c>
    </row>
    <row r="65" spans="1:6">
      <c r="A65" s="51">
        <v>64</v>
      </c>
      <c r="B65" s="55" t="str">
        <f>Estimulo!G30</f>
        <v>Estimulo Todo en Orden - Nivel 3 - 9</v>
      </c>
      <c r="C65" s="35">
        <v>9</v>
      </c>
      <c r="D65" s="33" t="s">
        <v>131</v>
      </c>
      <c r="E65" s="65" t="s">
        <v>85</v>
      </c>
      <c r="F65" s="21" t="str">
        <f t="shared" si="0"/>
        <v>Estimulo Todo en Orden - Nivel 3 - 9 - Opcion 9</v>
      </c>
    </row>
    <row r="66" spans="1:6">
      <c r="A66" s="51">
        <v>65</v>
      </c>
      <c r="B66" s="55" t="str">
        <f>Estimulo!G31</f>
        <v>Estimulo Todo en Orden - Nivel 3 - 10</v>
      </c>
      <c r="C66" s="35">
        <v>10</v>
      </c>
      <c r="D66" s="33" t="s">
        <v>132</v>
      </c>
      <c r="E66" s="65" t="s">
        <v>85</v>
      </c>
      <c r="F66" s="21" t="str">
        <f t="shared" si="0"/>
        <v>Estimulo Todo en Orden - Nivel 3 - 10 - Opcion 10</v>
      </c>
    </row>
    <row r="67" spans="1:6" ht="15.75" thickBot="1">
      <c r="A67" s="52">
        <v>66</v>
      </c>
      <c r="B67" s="56" t="str">
        <f>Estimulo!G32</f>
        <v>Estimulo Todo en Orden - Nivel 3 - 11</v>
      </c>
      <c r="C67" s="36">
        <v>11</v>
      </c>
      <c r="D67" s="13" t="s">
        <v>133</v>
      </c>
      <c r="E67" s="65" t="s">
        <v>85</v>
      </c>
      <c r="F67" s="22" t="str">
        <f t="shared" ref="F67" si="1">B67&amp;" - Opcion "&amp;C67</f>
        <v>Estimulo Todo en Orden - Nivel 3 - 11 - Opcion 11</v>
      </c>
    </row>
  </sheetData>
  <hyperlinks>
    <hyperlink ref="B2:B4" location="Estimulo!E2" display="Estimulo!E2" xr:uid="{2EA42BF5-8FCB-4B71-9751-BCAA98CF1312}"/>
    <hyperlink ref="B5:B7" location="Estimulo!E3" display="Estimulo!E3" xr:uid="{877105B9-B680-499C-9E51-23A5056ED3E4}"/>
    <hyperlink ref="B8:B10" location="Estimulo!E4" display="Estimulo!E4" xr:uid="{3E2169AC-BC45-44D3-B064-AE1ECB4B4DA5}"/>
    <hyperlink ref="B11:B13" location="Estimulo!E5" display="Estimulo!E5" xr:uid="{9C2D8A72-AF1A-40A7-B4E0-11CBB16D2EBC}"/>
    <hyperlink ref="B14:B16" location="Estimulo!E6" display="Estimulo!E6" xr:uid="{0FF1E5A8-340A-4985-AC7A-0822876724C1}"/>
    <hyperlink ref="B17:B19" location="Estimulo!E7" display="Estimulo!E7" xr:uid="{A59371E3-7204-423E-A0AF-552C52440F3F}"/>
    <hyperlink ref="B20:B22" location="Estimulo!E8" display="Estimulo!E8" xr:uid="{324012F9-88BD-44D1-B313-4162FC40CEC9}"/>
    <hyperlink ref="B23:B25" location="Estimulo!E9" display="Estimulo!E9" xr:uid="{99B6FC9F-1AD7-43A2-9858-861BC92EA390}"/>
    <hyperlink ref="B26:B28" location="'Opciones de Respuesta'!E10" display="'Opciones de Respuesta'!E10" xr:uid="{D71E4EAA-3E5D-4DFF-A5F1-D02ED22D5826}"/>
    <hyperlink ref="B29:B31" location="Estimulo!E11" display="Estimulo!E11" xr:uid="{1B8B8F74-4430-4F78-B8F2-9BCDECB0CFA4}"/>
    <hyperlink ref="B32:B35" location="Estimulo!E12" display="Estimulo!E12" xr:uid="{7C79D87C-5A92-4EAF-9831-C5979C1A1C57}"/>
    <hyperlink ref="B36:B39" location="Estimulo!E13" display="Estimulo!E13" xr:uid="{9C5B306B-C1A0-4E14-A872-CD0541165F13}"/>
    <hyperlink ref="B40" location="Estimulo!E14" display="Estimulo!E14" xr:uid="{0450DDD0-AD70-4C42-9A9B-2E5E774379F8}"/>
    <hyperlink ref="B41:B44" location="Estimulo!E15" display="Estimulo!E15" xr:uid="{37AB3069-8EED-4630-8848-B199CC205771}"/>
    <hyperlink ref="B45" location="Estimulo!E16" display="Estimulo!E16" xr:uid="{70172873-6838-4941-B921-A2F77716B3A3}"/>
    <hyperlink ref="B46" location="Estimulo!E17" display="Estimulo!E17" xr:uid="{2DE26F18-E418-463E-BEC0-BCED1899B1A8}"/>
    <hyperlink ref="B47:B50" location="Estimulo!E18" display="Estimulo!E18" xr:uid="{942AF22B-C8E6-4676-9B83-BEA5B4534C2B}"/>
    <hyperlink ref="B51:B54" location="Estimulo!E19" display="Estimulo!E19" xr:uid="{FE6FE758-25C6-4903-A283-10B973DEE1F2}"/>
    <hyperlink ref="B55" location="Estimulo!E20" display="Estimulo!E20" xr:uid="{F1F19402-48CB-47BC-8EC9-18D32757E1D8}"/>
    <hyperlink ref="B56" location="Estimulo!E21" display="Estimulo!E21" xr:uid="{C52730BA-393C-417C-9F7F-9D706F19174B}"/>
    <hyperlink ref="B57" location="Estimulo!E22" display="Estimulo!E22" xr:uid="{5838A13D-B836-4997-BC27-69F901D349C4}"/>
    <hyperlink ref="B58" location="Estimulo!E23" display="Estimulo!E23" xr:uid="{FC58F5A1-426F-4F1D-80EF-82ACB4EC3D42}"/>
    <hyperlink ref="B59" location="Estimulo!E24" display="Estimulo!E24" xr:uid="{219F544D-639E-4AA0-9FD1-30958ECBF223}"/>
    <hyperlink ref="B60" location="Estimulo!E25" display="Estimulo!E25" xr:uid="{958721C0-6440-42C8-8E24-0D6335DD2CE8}"/>
    <hyperlink ref="B61" location="Estimulo!E26" display="Estimulo!E26" xr:uid="{E58DC0AF-EA81-4614-BD9A-D2B619D1A35D}"/>
    <hyperlink ref="B62" location="Estimulo!E27" display="Estimulo!E27" xr:uid="{A268EBEB-5D52-4EE4-8C2A-30FD71D872C3}"/>
    <hyperlink ref="B63" location="Estimulo!E28" display="Estimulo!E28" xr:uid="{3DB56D0D-526B-410D-A20F-9DA3B3750734}"/>
    <hyperlink ref="B64" location="Estimulo!E29" display="Estimulo!E29" xr:uid="{61DD5F30-29B9-4E1F-A3D6-2558F6B03D33}"/>
    <hyperlink ref="B65" location="Estimulo!E30" display="Estimulo!E30" xr:uid="{447AF157-482B-4948-8941-FD7600B636AC}"/>
    <hyperlink ref="B66" location="Estimulo!E31" display="Estimulo!E31" xr:uid="{D79CEA72-C61C-4874-9CD4-051A5FCDBC36}"/>
    <hyperlink ref="B67" location="Estimulo!E32" display="Estimulo!E32" xr:uid="{C8B62BDF-CB2D-49B0-9B7B-EDE0EBD8496C}"/>
  </hyperlink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A1847-7172-4C08-BD8B-F8A292638FC4}">
  <dimension ref="A1:G3"/>
  <sheetViews>
    <sheetView zoomScale="70" zoomScaleNormal="70" workbookViewId="0">
      <selection activeCell="B8" sqref="B8"/>
    </sheetView>
  </sheetViews>
  <sheetFormatPr defaultColWidth="10.7109375" defaultRowHeight="15"/>
  <cols>
    <col min="1" max="1" width="12.85546875" customWidth="1"/>
    <col min="2" max="2" width="125.85546875" customWidth="1"/>
    <col min="3" max="3" width="48" customWidth="1"/>
    <col min="4" max="4" width="23.140625" customWidth="1"/>
    <col min="5" max="5" width="22.7109375" customWidth="1"/>
    <col min="6" max="6" width="7.7109375" customWidth="1"/>
    <col min="7" max="7" width="189.5703125" customWidth="1"/>
  </cols>
  <sheetData>
    <row r="1" spans="1:7">
      <c r="A1" s="23" t="s">
        <v>29</v>
      </c>
      <c r="B1" s="24" t="s">
        <v>134</v>
      </c>
      <c r="C1" s="24" t="s">
        <v>79</v>
      </c>
      <c r="D1" s="24" t="s">
        <v>135</v>
      </c>
      <c r="E1" s="24" t="s">
        <v>136</v>
      </c>
      <c r="F1" s="24" t="s">
        <v>137</v>
      </c>
      <c r="G1" s="18" t="s">
        <v>33</v>
      </c>
    </row>
    <row r="2" spans="1:7">
      <c r="A2" s="19">
        <v>1</v>
      </c>
      <c r="B2" s="70" t="s">
        <v>138</v>
      </c>
      <c r="C2" s="30" t="str">
        <f>Estimulo!G2</f>
        <v>Estimulo El Suelo es Lava - Nivel 1 - 1</v>
      </c>
      <c r="D2" s="5">
        <v>1</v>
      </c>
      <c r="E2" s="5" t="s">
        <v>139</v>
      </c>
      <c r="F2" s="5">
        <v>0</v>
      </c>
      <c r="G2" s="20" t="str">
        <f>B2&amp;" - "&amp;C2</f>
        <v>Estudiante: juan.ernesto6245@uco.edu.co - Inicio: 08/13/2025 1:10 PM - Fin: 08/13/2025 3:59 PM - Estimulo El Suelo es Lava - Nivel 1 - 1</v>
      </c>
    </row>
    <row r="3" spans="1:7">
      <c r="A3" s="26">
        <v>2</v>
      </c>
      <c r="B3" s="71" t="s">
        <v>138</v>
      </c>
      <c r="C3" s="30" t="str">
        <f>Estimulo!G3</f>
        <v>Estimulo El Suelo es Lava - Nivel 1 - 2</v>
      </c>
      <c r="D3" s="27">
        <v>2</v>
      </c>
      <c r="E3" s="27" t="s">
        <v>140</v>
      </c>
      <c r="F3" s="27">
        <v>0</v>
      </c>
      <c r="G3" s="28" t="str">
        <f>B3&amp;" - "&amp;C3</f>
        <v>Estudiante: juan.ernesto6245@uco.edu.co - Inicio: 08/13/2025 1:10 PM - Fin: 08/13/2025 3:59 PM - Estimulo El Suelo es Lava - Nivel 1 - 2</v>
      </c>
    </row>
  </sheetData>
  <hyperlinks>
    <hyperlink ref="C2" location="Estimulo!A2" display="Estimulo!A2" xr:uid="{B79D883B-728B-4AA4-B7AF-55ADF81C6F9B}"/>
    <hyperlink ref="C3" location="Estimulo!A2" display="Estimulo!A2" xr:uid="{9D281A4D-252F-464B-8A1C-6ED727AA6B88}"/>
    <hyperlink ref="B2" location="'Sesion Entrenamiento'!A2" display="Estudiante: juan.ernesto6245@uco.edu.co, Entrenador: marco.hernandez2789@uco.edu.co - Inicio: 08/13/2025 1:10 PM - Fin: 08/13/2025 3:59 PM" xr:uid="{C9DE1D3F-49F4-4F55-AA78-35C3BB2B5C72}"/>
    <hyperlink ref="B3" location="'Sesion Entrenamiento'!A2" display="Estudiante: juan.ernesto6245@uco.edu.co, Entrenador: marco.hernandez2789@uco.edu.co - Inicio: 08/13/2025 1:10 PM - Fin: 08/13/2025 3:59 PM" xr:uid="{4B643E7B-05B8-4B68-8AFC-7FE05DE3F81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339E364CF2FAC646913FA2F6AF72DBE1" ma:contentTypeVersion="10" ma:contentTypeDescription="Crear nuevo documento." ma:contentTypeScope="" ma:versionID="b24b9c618f26a7f5898de1c13fded6f0">
  <xsd:schema xmlns:xsd="http://www.w3.org/2001/XMLSchema" xmlns:xs="http://www.w3.org/2001/XMLSchema" xmlns:p="http://schemas.microsoft.com/office/2006/metadata/properties" xmlns:ns2="d3168a39-8cd2-49bc-b1c5-42f933dcfd23" targetNamespace="http://schemas.microsoft.com/office/2006/metadata/properties" ma:root="true" ma:fieldsID="1b230ff9972fda723d9ad96722259e8e" ns2:_="">
    <xsd:import namespace="d3168a39-8cd2-49bc-b1c5-42f933dcfd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168a39-8cd2-49bc-b1c5-42f933dcfd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3168a39-8cd2-49bc-b1c5-42f933dcfd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5EA08E4-149E-48FC-8396-F575B1B1204D}"/>
</file>

<file path=customXml/itemProps2.xml><?xml version="1.0" encoding="utf-8"?>
<ds:datastoreItem xmlns:ds="http://schemas.openxmlformats.org/officeDocument/2006/customXml" ds:itemID="{8DBBBD37-9FFC-4506-8F16-6A06C3567E60}"/>
</file>

<file path=customXml/itemProps3.xml><?xml version="1.0" encoding="utf-8"?>
<ds:datastoreItem xmlns:ds="http://schemas.openxmlformats.org/officeDocument/2006/customXml" ds:itemID="{C14BD66D-79A1-44CF-8683-88B17B337C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Jacob Surname</dc:creator>
  <cp:keywords/>
  <dc:description/>
  <cp:lastModifiedBy>Jacobo Jaramillo Jaramillo</cp:lastModifiedBy>
  <cp:revision/>
  <dcterms:created xsi:type="dcterms:W3CDTF">2025-02-17T19:40:56Z</dcterms:created>
  <dcterms:modified xsi:type="dcterms:W3CDTF">2025-03-05T01:21:33Z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0x010100339E364CF2FAC646913FA2F6AF72DBE1</vt:lpwstr>
  </property>
</Properties>
</file>