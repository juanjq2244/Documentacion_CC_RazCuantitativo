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Okt\OneDrive\Documents\CogniCare - Raz. Cuantitativo\"/>
    </mc:Choice>
  </mc:AlternateContent>
  <xr:revisionPtr revIDLastSave="0" documentId="13_ncr:1_{83FB2F34-5103-4A45-9683-88983961641B}" xr6:coauthVersionLast="47" xr6:coauthVersionMax="47" xr10:uidLastSave="{00000000-0000-0000-0000-000000000000}"/>
  <bookViews>
    <workbookView xWindow="-120" yWindow="-120" windowWidth="29040" windowHeight="15840" xr2:uid="{36012E7C-B3F4-482B-AC16-7CCB81B9AE88}"/>
  </bookViews>
  <sheets>
    <sheet name="Modelo dominio anémico contexto" sheetId="61" r:id="rId1"/>
    <sheet name="Listado Objetos de Dominio" sheetId="67" r:id="rId2"/>
    <sheet name="Valores" sheetId="69" r:id="rId3"/>
    <sheet name="Respuesta Estimulo" sheetId="70" r:id="rId4"/>
    <sheet name="Tutorial Tarea" sheetId="71" r:id="rId5"/>
    <sheet name="Tutorial Nivel" sheetId="77" r:id="rId6"/>
    <sheet name="Tarea" sheetId="72" r:id="rId7"/>
    <sheet name="Nivel" sheetId="73" r:id="rId8"/>
    <sheet name="Estimulo" sheetId="74" r:id="rId9"/>
    <sheet name="Opciones de Respuesta" sheetId="76" r:id="rId10"/>
  </sheets>
  <definedNames>
    <definedName name="_xlnm._FilterDatabase" localSheetId="1" hidden="1">'Listado Objetos de Dominio'!$A$2:$B$2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7" l="1"/>
  <c r="B2" i="77"/>
  <c r="T4" i="77"/>
  <c r="S4" i="77"/>
  <c r="B3" i="76"/>
  <c r="B2" i="76"/>
  <c r="Q4" i="74"/>
  <c r="R4" i="76"/>
  <c r="Q4" i="76"/>
  <c r="B3" i="74"/>
  <c r="B2" i="74"/>
  <c r="B3" i="73"/>
  <c r="B2" i="73"/>
  <c r="B3" i="72"/>
  <c r="B2" i="72"/>
  <c r="B3" i="71"/>
  <c r="B2" i="71"/>
  <c r="B3" i="70"/>
  <c r="B2" i="70"/>
  <c r="R4" i="74"/>
  <c r="R4" i="73"/>
  <c r="Q4" i="73"/>
  <c r="R4" i="72"/>
  <c r="Q4" i="72"/>
  <c r="T4" i="71"/>
  <c r="S4" i="71"/>
  <c r="Q4" i="70"/>
</calcChain>
</file>

<file path=xl/sharedStrings.xml><?xml version="1.0" encoding="utf-8"?>
<sst xmlns="http://schemas.openxmlformats.org/spreadsheetml/2006/main" count="959" uniqueCount="242">
  <si>
    <t>Subdominio/Contexto:</t>
  </si>
  <si>
    <t>Nombre</t>
  </si>
  <si>
    <t>Descripción</t>
  </si>
  <si>
    <t>Tipo</t>
  </si>
  <si>
    <t>Contexto</t>
  </si>
  <si>
    <t>Tipo Objeto Dominio</t>
  </si>
  <si>
    <t>Propio</t>
  </si>
  <si>
    <t>Cuando el objeto de dominio es parte del contexto actual</t>
  </si>
  <si>
    <t>Referenciado</t>
  </si>
  <si>
    <t>Cuando el objeto de dominio es parte de otro contexto</t>
  </si>
  <si>
    <t>&lt;-Volver al inicio</t>
  </si>
  <si>
    <t>Objeto de Dominio:</t>
  </si>
  <si>
    <t>Descripción:</t>
  </si>
  <si>
    <t>Atributo</t>
  </si>
  <si>
    <t>Tipo de Dato</t>
  </si>
  <si>
    <t>Longitud mínima</t>
  </si>
  <si>
    <t>Longitud máxima</t>
  </si>
  <si>
    <t>Precisión</t>
  </si>
  <si>
    <t>Rango Inicial</t>
  </si>
  <si>
    <t>Rango Final</t>
  </si>
  <si>
    <t>Formato</t>
  </si>
  <si>
    <t>Valor por defecto</t>
  </si>
  <si>
    <t>Regla especial</t>
  </si>
  <si>
    <t>¿Auto generado?</t>
  </si>
  <si>
    <t>¿Calculado?</t>
  </si>
  <si>
    <t>¿Obligatorio?</t>
  </si>
  <si>
    <t>¿Sensible?</t>
  </si>
  <si>
    <t>¿Identifica al registro?</t>
  </si>
  <si>
    <t>Combinaciones únicas</t>
  </si>
  <si>
    <t>Nombre combinación</t>
  </si>
  <si>
    <t>Atributos</t>
  </si>
  <si>
    <t>Responsabilidad</t>
  </si>
  <si>
    <t>Entradas</t>
  </si>
  <si>
    <t>Salida</t>
  </si>
  <si>
    <t>Políticas (Reglas de Negocio)</t>
  </si>
  <si>
    <t>Excepción</t>
  </si>
  <si>
    <t>Parámetro</t>
  </si>
  <si>
    <t>Tipo de dato</t>
  </si>
  <si>
    <t>Política</t>
  </si>
  <si>
    <t>Detalle</t>
  </si>
  <si>
    <t>¿Qué hago?</t>
  </si>
  <si>
    <t>Cognicare - Razonamiento Cuantitativo</t>
  </si>
  <si>
    <t>Tarea</t>
  </si>
  <si>
    <t>Nivel</t>
  </si>
  <si>
    <t>Estímulo</t>
  </si>
  <si>
    <t>Serie de niveles y estímulos para que el entrenador evalúe las habilidades en razonamiento lógico del estudiante</t>
  </si>
  <si>
    <t>Subdivisión de una Tarea que aumenta progresivamente su dificultad</t>
  </si>
  <si>
    <t>Elementos únicos de cada nivel para que el estudiante interactúe con las tareas</t>
  </si>
  <si>
    <t>id</t>
  </si>
  <si>
    <t>int</t>
  </si>
  <si>
    <t>string</t>
  </si>
  <si>
    <t>nombre</t>
  </si>
  <si>
    <t>SI</t>
  </si>
  <si>
    <t>NO</t>
  </si>
  <si>
    <t>boolean</t>
  </si>
  <si>
    <t>Indica si se ha seleccionado una tarea para ingresar.</t>
  </si>
  <si>
    <t>Identificador único del tutorial.</t>
  </si>
  <si>
    <t>Posición numérica del mensaje actual.</t>
  </si>
  <si>
    <t>Identificador único de la tarea.</t>
  </si>
  <si>
    <t>sesionId</t>
  </si>
  <si>
    <t>Nombre de la tarea.</t>
  </si>
  <si>
    <t>Identificador único del nivel.</t>
  </si>
  <si>
    <t>intensidad</t>
  </si>
  <si>
    <t>tareaId</t>
  </si>
  <si>
    <t>Identificador de la tarea asociada.</t>
  </si>
  <si>
    <t>Determina la complejidad del nivel. (1-3)</t>
  </si>
  <si>
    <t>Intensidad y Tarea</t>
  </si>
  <si>
    <t>Garantiza que no haya dos niveles con la misma intensidad para la misma tarea</t>
  </si>
  <si>
    <t>intensidad, tareaId</t>
  </si>
  <si>
    <t>Identificador único del estímulo.</t>
  </si>
  <si>
    <t>Identificador del nivel asociado.</t>
  </si>
  <si>
    <t>Identificador del estímulo específico.</t>
  </si>
  <si>
    <t>estimuloId</t>
  </si>
  <si>
    <t>nivelId</t>
  </si>
  <si>
    <t>intentos</t>
  </si>
  <si>
    <t>tiempoRestante</t>
  </si>
  <si>
    <t>puntos</t>
  </si>
  <si>
    <t>float</t>
  </si>
  <si>
    <t>Mostrar mensaje de error y solicitar datos nuevamente.</t>
  </si>
  <si>
    <t>Campos vacíos.</t>
  </si>
  <si>
    <t>True si la eliminación fue exitosa.</t>
  </si>
  <si>
    <t>N/A</t>
  </si>
  <si>
    <t>siguienteMensaje</t>
  </si>
  <si>
    <t>finalizarTutorial</t>
  </si>
  <si>
    <t>crearEstimulo</t>
  </si>
  <si>
    <t>crearNivel</t>
  </si>
  <si>
    <t>Validar que la sesión existe.</t>
  </si>
  <si>
    <t>True si la creación fue exitosa</t>
  </si>
  <si>
    <t>eliminarNivel</t>
  </si>
  <si>
    <t>Crea un nivel.</t>
  </si>
  <si>
    <t>Elimina un nivel.</t>
  </si>
  <si>
    <t>Validar que el nivel existe.</t>
  </si>
  <si>
    <t>Nivel no existente.</t>
  </si>
  <si>
    <t>Mostrar mensaje de error y no eliminar.</t>
  </si>
  <si>
    <t>Nivel existente.</t>
  </si>
  <si>
    <t>Mostrar mensaje de error y no crear.</t>
  </si>
  <si>
    <t>Automaticamente se aplica al crear un Nivel.</t>
  </si>
  <si>
    <t>Requerido para crear un Nivel.</t>
  </si>
  <si>
    <t>Requerido para eliminar un Nivel.</t>
  </si>
  <si>
    <t>Se muestra el siguiente mensaje.</t>
  </si>
  <si>
    <t>Finaliza el estado de tutorial.</t>
  </si>
  <si>
    <t>Posición nueva del mensaje actual.</t>
  </si>
  <si>
    <t>Validar que la posición esté dentro de la cantidad de mensajes.</t>
  </si>
  <si>
    <t>Indice fuera del rango.</t>
  </si>
  <si>
    <t>Mostrar mensaje de error y no mostrar el mensaje siguiente.</t>
  </si>
  <si>
    <t>True si la salida fue exitosa.</t>
  </si>
  <si>
    <t>Requerido para identificar la posicion del mensaje.</t>
  </si>
  <si>
    <t>Garantiza que no haya dos tutoriales con los mismos mensajes.</t>
  </si>
  <si>
    <t>Mensajes Repetidos</t>
  </si>
  <si>
    <t>Garantiza que no haya estímulos duplicados.</t>
  </si>
  <si>
    <t>Estimulo, Tarea, Nivel, y Sesion</t>
  </si>
  <si>
    <t>estimuloId, tareaId, nivelId, sesionId</t>
  </si>
  <si>
    <t>Validar que la tarea no existe.</t>
  </si>
  <si>
    <t>Tarea existente.</t>
  </si>
  <si>
    <t>Tarea no existente.</t>
  </si>
  <si>
    <t>Validar que la tarea existe.</t>
  </si>
  <si>
    <t>crearTarea</t>
  </si>
  <si>
    <t>eliminarTarea</t>
  </si>
  <si>
    <t>Crea una tarea.</t>
  </si>
  <si>
    <t>Elimina una tarea.</t>
  </si>
  <si>
    <t>Requerido para crear una tarea.</t>
  </si>
  <si>
    <t>Requerido para eliminar una tarea.</t>
  </si>
  <si>
    <t>Crear un nuevo estimulo.</t>
  </si>
  <si>
    <t>eliminarEstimulo</t>
  </si>
  <si>
    <t>True si la creación fue exitosa.</t>
  </si>
  <si>
    <t>Eliminar un estimulo.</t>
  </si>
  <si>
    <t>Estimulo no existente.</t>
  </si>
  <si>
    <t>Validar que el estimulo existe.</t>
  </si>
  <si>
    <t>Estimulo existente.</t>
  </si>
  <si>
    <t>Requerido para crear un estimulo.</t>
  </si>
  <si>
    <t>Requerido para eliminar un estimulo.</t>
  </si>
  <si>
    <t>Automaticamente se calcula al crear un estimulo.</t>
  </si>
  <si>
    <t>Respuesta Estimulo</t>
  </si>
  <si>
    <t>Respuestas del estudiante por cada estímulo durante una sesión.</t>
  </si>
  <si>
    <t>Razonamiento Cuantitativo</t>
  </si>
  <si>
    <t>mensaje</t>
  </si>
  <si>
    <t>Texto que se muestran para explicar objetivos.</t>
  </si>
  <si>
    <t>Identificacion de la tarea.</t>
  </si>
  <si>
    <t>tiempoLimite</t>
  </si>
  <si>
    <t>Tiempo limite del tutorial.</t>
  </si>
  <si>
    <t>Tiempo limite para desarrollar el estimulo.</t>
  </si>
  <si>
    <t>Identificador único de la respuesta.</t>
  </si>
  <si>
    <t>Identificador único del estimulo.</t>
  </si>
  <si>
    <t>Identificador único de la sesion de entrenamiento.</t>
  </si>
  <si>
    <t>Tiempo restante en el momento de completar el estimulo.</t>
  </si>
  <si>
    <t>Cantidad de intentos hechos en el estimulo.</t>
  </si>
  <si>
    <t>guardarDatosEstimulo</t>
  </si>
  <si>
    <t>True si el guardado fue exitosa.</t>
  </si>
  <si>
    <t>eliminarDatosEstimulo</t>
  </si>
  <si>
    <t>Eliminar los datos de un estimulo durante una sesion.</t>
  </si>
  <si>
    <t>Guardar los datos de un estimulo durante una sesion.</t>
  </si>
  <si>
    <t>Validar que la respuesta existe.</t>
  </si>
  <si>
    <t>Respuesta no existente.</t>
  </si>
  <si>
    <t>Requerido para eliminar una respuesta.</t>
  </si>
  <si>
    <t>Requerido para guardar una respuesta.</t>
  </si>
  <si>
    <t>Automaticamente se aplica al crear una respuesta.</t>
  </si>
  <si>
    <t>respuestaExistente</t>
  </si>
  <si>
    <t>pantallaEnRango</t>
  </si>
  <si>
    <t>tareaNoExiste</t>
  </si>
  <si>
    <t>tareaExiste</t>
  </si>
  <si>
    <t>nivelExistente</t>
  </si>
  <si>
    <t>nivelNoExistente</t>
  </si>
  <si>
    <t>estimuloExistente</t>
  </si>
  <si>
    <t>eliminarMensaje</t>
  </si>
  <si>
    <t>sesionId, estimuloId</t>
  </si>
  <si>
    <t>Garantiza que no existan dos respuestas similares.</t>
  </si>
  <si>
    <t>Respuesta Única</t>
  </si>
  <si>
    <t>Eliminar un mensaje.</t>
  </si>
  <si>
    <t>crearMensaje</t>
  </si>
  <si>
    <t>Crear un mensaje.</t>
  </si>
  <si>
    <t>Mensaje no existente.</t>
  </si>
  <si>
    <t>Validar que el mensaje existe.</t>
  </si>
  <si>
    <t>mensajeExistente</t>
  </si>
  <si>
    <t>ID del mensaje creado</t>
  </si>
  <si>
    <t>sesionIdNoVacio</t>
  </si>
  <si>
    <t>estimuloIdNoVacio</t>
  </si>
  <si>
    <t>intentosNoVacio</t>
  </si>
  <si>
    <t>tiempoNoVacio</t>
  </si>
  <si>
    <t>Validar que el tiempo no este vacio.</t>
  </si>
  <si>
    <t>Validar que la cantidad de intentos no tenga un valor vacio.</t>
  </si>
  <si>
    <t>mensajeNoVacio</t>
  </si>
  <si>
    <t>pantallaNoVacio</t>
  </si>
  <si>
    <t>tareaIdNoVacio</t>
  </si>
  <si>
    <t>tiempoLimiteNoVacio</t>
  </si>
  <si>
    <t>Validar que el mensaje no sea vacio.</t>
  </si>
  <si>
    <t>Validar que el mensaje tenga una pantalla asignada.</t>
  </si>
  <si>
    <t>Validar que el mensaje tenga una tarea asignada.</t>
  </si>
  <si>
    <t>Validar que el mensaje tenga un tiempo limite.</t>
  </si>
  <si>
    <t>Automaticamente se aplica al crear un mensaje de tutorial.</t>
  </si>
  <si>
    <t>Requerido para crear un mensaje de tutorial.</t>
  </si>
  <si>
    <t>Requerido para eliminar el mensaje de tutorial.</t>
  </si>
  <si>
    <t>indice</t>
  </si>
  <si>
    <t>Identificador de la tarea al que pertenece.</t>
  </si>
  <si>
    <t>Validar que el nivel no existe por su combinacion unica.</t>
  </si>
  <si>
    <t>opcion</t>
  </si>
  <si>
    <t>detalle</t>
  </si>
  <si>
    <t>Orden de opcion en que se ubica esta opcion.</t>
  </si>
  <si>
    <t>Descripcion de la opcion.</t>
  </si>
  <si>
    <t>Automaticamente se calcula al crear una opción.</t>
  </si>
  <si>
    <t>Requerido para eliminar una opción.</t>
  </si>
  <si>
    <t>Requerido para crear una opción.</t>
  </si>
  <si>
    <t>Opción existente.</t>
  </si>
  <si>
    <t>Opción no existente.</t>
  </si>
  <si>
    <t>Validar que la identificacion no sea vacio.</t>
  </si>
  <si>
    <t>Validar que la opción no existe por su combinacion única.</t>
  </si>
  <si>
    <t>opcionNoExistente</t>
  </si>
  <si>
    <t>opcionExistente</t>
  </si>
  <si>
    <t>crearOpcion</t>
  </si>
  <si>
    <t>eliminarOpcion</t>
  </si>
  <si>
    <t>Crear un nuevo opción.</t>
  </si>
  <si>
    <t>Eliminar una opción.</t>
  </si>
  <si>
    <t>Garantiza que no haya opciónes duplicados.</t>
  </si>
  <si>
    <t>estimuloId, opcion</t>
  </si>
  <si>
    <t>Estimulo y Opción</t>
  </si>
  <si>
    <t>Opciones de Respuesta</t>
  </si>
  <si>
    <t>Cada opcion de respuesta única de un estimulo.</t>
  </si>
  <si>
    <t>Garantiza que no haya dos tareas con el mismo nombre.</t>
  </si>
  <si>
    <t>respuestaCorrectaId</t>
  </si>
  <si>
    <t>pregunta</t>
  </si>
  <si>
    <t>Descripción que explica lo que se tiene que hacer.</t>
  </si>
  <si>
    <t>Identificacion de la respuesta correcta del estimulo.</t>
  </si>
  <si>
    <t>Validar que el estimulo no sea vacio.</t>
  </si>
  <si>
    <t>Validar que el estimulo este vinculado a una tarea.</t>
  </si>
  <si>
    <t>Validar que el estimulo este vinculado a un nivel de intensidad.</t>
  </si>
  <si>
    <t>Validar que el estimulo tenga una respuesta correcta</t>
  </si>
  <si>
    <t>Validar que el estimulo tenga un tiempo limite.</t>
  </si>
  <si>
    <t>preguntaExiste</t>
  </si>
  <si>
    <t>Validar que el estimulo tenga una descripcion.</t>
  </si>
  <si>
    <t>tiempoLimiteExiste</t>
  </si>
  <si>
    <t>respuestaCorrectaExiste</t>
  </si>
  <si>
    <t>nivelEstimuloExiste</t>
  </si>
  <si>
    <t>tareaEstimuloExiste</t>
  </si>
  <si>
    <t>estimuloNoVacio</t>
  </si>
  <si>
    <t>Campos Vacios.</t>
  </si>
  <si>
    <t>Campos existentes.</t>
  </si>
  <si>
    <t>Serie de instrucciones sobre como funciona la tarea antes de la sesión. Representada por un cerebrito de caricatura.</t>
  </si>
  <si>
    <t>Serie de instrucciones sobre como funciona un nivel antes de la sesión. Representada por un cerebrito de caricatura.</t>
  </si>
  <si>
    <t>Tutorial Nivel</t>
  </si>
  <si>
    <t>Tutorial Tarea</t>
  </si>
  <si>
    <t>UUID</t>
  </si>
  <si>
    <t>XXXXXXXX-XXXX-MXXX-NXXX-XXXXXXXXXXXX</t>
  </si>
  <si>
    <t>Identificacion de la respuesta en "Opciones de Respuesta" que sea correcta del estimulo.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</si>
</sst>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4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quotePrefix="1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quotePrefix="1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2" fillId="5" borderId="1" xfId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2" fillId="7" borderId="9" xfId="2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9" xfId="0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vertical="center" wrapText="1"/>
    </xf>
    <xf numFmtId="0" fontId="2" fillId="7" borderId="9" xfId="2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5" borderId="8" xfId="0" applyFill="1" applyBorder="1" applyAlignment="1">
      <alignment vertical="center"/>
    </xf>
    <xf numFmtId="0" fontId="0" fillId="5" borderId="9" xfId="0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5" fillId="4" borderId="16" xfId="0" applyFont="1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2" fillId="4" borderId="17" xfId="1" applyFill="1" applyBorder="1" applyAlignment="1">
      <alignment vertical="center"/>
    </xf>
    <xf numFmtId="0" fontId="2" fillId="9" borderId="1" xfId="1" applyFill="1" applyBorder="1" applyAlignment="1">
      <alignment vertical="center"/>
    </xf>
    <xf numFmtId="0" fontId="0" fillId="9" borderId="6" xfId="0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 vertical="center"/>
    </xf>
    <xf numFmtId="0" fontId="2" fillId="10" borderId="1" xfId="1" applyFill="1" applyBorder="1" applyAlignment="1">
      <alignment horizontal="left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/>
    </xf>
    <xf numFmtId="0" fontId="3" fillId="9" borderId="3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center"/>
    </xf>
    <xf numFmtId="0" fontId="3" fillId="10" borderId="3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left" vertical="center"/>
    </xf>
    <xf numFmtId="0" fontId="1" fillId="4" borderId="13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2" fillId="5" borderId="5" xfId="1" applyFill="1" applyBorder="1" applyAlignment="1">
      <alignment vertical="center"/>
    </xf>
    <xf numFmtId="0" fontId="2" fillId="5" borderId="7" xfId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0" borderId="0" xfId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horizontal="left" vertical="center"/>
    </xf>
    <xf numFmtId="0" fontId="0" fillId="5" borderId="6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3" fillId="10" borderId="5" xfId="1" applyFont="1" applyFill="1" applyBorder="1" applyAlignment="1">
      <alignment horizontal="left" vertical="center"/>
    </xf>
    <xf numFmtId="0" fontId="3" fillId="10" borderId="1" xfId="1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3" fillId="5" borderId="23" xfId="1" applyFont="1" applyFill="1" applyBorder="1" applyAlignment="1">
      <alignment horizontal="left" vertical="center"/>
    </xf>
    <xf numFmtId="0" fontId="3" fillId="5" borderId="20" xfId="1" applyFont="1" applyFill="1" applyBorder="1" applyAlignment="1">
      <alignment horizontal="left" vertical="center"/>
    </xf>
    <xf numFmtId="0" fontId="3" fillId="5" borderId="27" xfId="1" applyFont="1" applyFill="1" applyBorder="1" applyAlignment="1">
      <alignment horizontal="left" vertical="center"/>
    </xf>
    <xf numFmtId="0" fontId="3" fillId="5" borderId="26" xfId="1" applyFont="1" applyFill="1" applyBorder="1" applyAlignment="1">
      <alignment horizontal="left" vertical="center"/>
    </xf>
    <xf numFmtId="0" fontId="3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0" fillId="4" borderId="30" xfId="0" applyFill="1" applyBorder="1" applyAlignment="1">
      <alignment horizontal="left" vertical="center"/>
    </xf>
    <xf numFmtId="0" fontId="0" fillId="4" borderId="13" xfId="0" applyFill="1" applyBorder="1" applyAlignment="1">
      <alignment horizontal="left" vertical="center"/>
    </xf>
    <xf numFmtId="0" fontId="3" fillId="9" borderId="12" xfId="1" applyFont="1" applyFill="1" applyBorder="1" applyAlignment="1">
      <alignment horizontal="left" vertical="center"/>
    </xf>
    <xf numFmtId="0" fontId="3" fillId="9" borderId="13" xfId="1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4" borderId="30" xfId="0" applyFill="1" applyBorder="1" applyAlignment="1">
      <alignment horizontal="left" vertical="center" wrapText="1"/>
    </xf>
    <xf numFmtId="0" fontId="0" fillId="4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vertical="center" wrapText="1"/>
    </xf>
    <xf numFmtId="0" fontId="0" fillId="5" borderId="28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9" xfId="0" applyFill="1" applyBorder="1" applyAlignment="1">
      <alignment horizontal="left" vertical="center" wrapText="1"/>
    </xf>
    <xf numFmtId="0" fontId="0" fillId="5" borderId="20" xfId="0" applyFill="1" applyBorder="1" applyAlignment="1">
      <alignment horizontal="left" vertical="center" wrapText="1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6" xfId="0" applyFill="1" applyBorder="1" applyAlignment="1">
      <alignment horizontal="left" vertical="center" wrapText="1"/>
    </xf>
    <xf numFmtId="0" fontId="0" fillId="5" borderId="24" xfId="0" applyFill="1" applyBorder="1" applyAlignment="1">
      <alignment vertical="center"/>
    </xf>
    <xf numFmtId="0" fontId="2" fillId="5" borderId="16" xfId="1" applyFill="1" applyBorder="1" applyAlignment="1">
      <alignment vertical="center"/>
    </xf>
    <xf numFmtId="0" fontId="2" fillId="5" borderId="17" xfId="1" applyFill="1" applyBorder="1" applyAlignment="1">
      <alignment vertical="center"/>
    </xf>
    <xf numFmtId="0" fontId="0" fillId="5" borderId="16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2" fillId="5" borderId="24" xfId="1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28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left" vertical="center" wrapText="1"/>
    </xf>
    <xf numFmtId="0" fontId="0" fillId="5" borderId="22" xfId="0" applyFill="1" applyBorder="1" applyAlignment="1">
      <alignment horizontal="left" vertical="center" wrapText="1"/>
    </xf>
    <xf numFmtId="0" fontId="0" fillId="5" borderId="11" xfId="0" applyFill="1" applyBorder="1" applyAlignment="1">
      <alignment horizontal="left" vertical="center" wrapText="1"/>
    </xf>
    <xf numFmtId="0" fontId="0" fillId="5" borderId="15" xfId="0" applyFill="1" applyBorder="1" applyAlignment="1">
      <alignment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99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73959</xdr:colOff>
      <xdr:row>0</xdr:row>
      <xdr:rowOff>75640</xdr:rowOff>
    </xdr:from>
    <xdr:to>
      <xdr:col>8</xdr:col>
      <xdr:colOff>350184</xdr:colOff>
      <xdr:row>27</xdr:row>
      <xdr:rowOff>180415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5DB019-00EC-EBC1-7CC1-6F5B6192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59" y="75640"/>
          <a:ext cx="6372225" cy="524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C49-240B-4036-BD62-669D42F23E67}">
  <dimension ref="A1"/>
  <sheetViews>
    <sheetView tabSelected="1" zoomScaleNormal="100" workbookViewId="0">
      <selection activeCell="M21" sqref="M21"/>
    </sheetView>
  </sheetViews>
  <sheetFormatPr baseColWidth="10" defaultColWidth="11.42578125" defaultRowHeight="15" x14ac:dyDescent="0.25"/>
  <cols>
    <col min="1" max="16384" width="11.42578125" style="2"/>
  </cols>
  <sheetData>
    <row r="1" spans="1:1" x14ac:dyDescent="0.25">
      <c r="A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8B9D-0652-49D5-BF62-A59B793D6DFC}">
  <dimension ref="A1:D9"/>
  <sheetViews>
    <sheetView zoomScaleNormal="100" workbookViewId="0">
      <pane ySplit="2" topLeftCell="A3" activePane="bottomLeft" state="frozen"/>
      <selection pane="bottomLeft"/>
    </sheetView>
  </sheetViews>
  <sheetFormatPr baseColWidth="10" defaultColWidth="11.42578125" defaultRowHeight="15" x14ac:dyDescent="0.25"/>
  <cols>
    <col min="1" max="1" width="21.5703125" style="1" bestFit="1" customWidth="1"/>
    <col min="2" max="2" width="56.28515625" style="1" bestFit="1" customWidth="1"/>
    <col min="3" max="3" width="11.42578125" style="1"/>
    <col min="4" max="4" width="14" style="1" customWidth="1"/>
    <col min="5" max="16384" width="11.42578125" style="1"/>
  </cols>
  <sheetData>
    <row r="1" spans="1:4" x14ac:dyDescent="0.25">
      <c r="A1" s="41" t="s">
        <v>0</v>
      </c>
      <c r="B1" s="74" t="s">
        <v>41</v>
      </c>
      <c r="C1" s="74"/>
      <c r="D1" s="75"/>
    </row>
    <row r="2" spans="1:4" x14ac:dyDescent="0.25">
      <c r="A2" s="42" t="s">
        <v>1</v>
      </c>
      <c r="B2" s="40" t="s">
        <v>2</v>
      </c>
      <c r="C2" s="40" t="s">
        <v>3</v>
      </c>
      <c r="D2" s="43" t="s">
        <v>4</v>
      </c>
    </row>
    <row r="3" spans="1:4" ht="30" x14ac:dyDescent="0.25">
      <c r="A3" s="71" t="s">
        <v>132</v>
      </c>
      <c r="B3" s="21" t="s">
        <v>133</v>
      </c>
      <c r="C3" s="19" t="s">
        <v>6</v>
      </c>
      <c r="D3" s="44" t="s">
        <v>134</v>
      </c>
    </row>
    <row r="4" spans="1:4" ht="30" x14ac:dyDescent="0.25">
      <c r="A4" s="71" t="s">
        <v>238</v>
      </c>
      <c r="B4" s="73" t="s">
        <v>235</v>
      </c>
      <c r="C4" s="19" t="s">
        <v>6</v>
      </c>
      <c r="D4" s="44" t="s">
        <v>134</v>
      </c>
    </row>
    <row r="5" spans="1:4" ht="30" x14ac:dyDescent="0.25">
      <c r="A5" s="71" t="s">
        <v>237</v>
      </c>
      <c r="B5" s="73" t="s">
        <v>236</v>
      </c>
      <c r="C5" s="19" t="s">
        <v>6</v>
      </c>
      <c r="D5" s="44" t="s">
        <v>134</v>
      </c>
    </row>
    <row r="6" spans="1:4" ht="30" x14ac:dyDescent="0.25">
      <c r="A6" s="71" t="s">
        <v>42</v>
      </c>
      <c r="B6" s="21" t="s">
        <v>45</v>
      </c>
      <c r="C6" s="19" t="s">
        <v>6</v>
      </c>
      <c r="D6" s="44" t="s">
        <v>134</v>
      </c>
    </row>
    <row r="7" spans="1:4" ht="30" x14ac:dyDescent="0.25">
      <c r="A7" s="71" t="s">
        <v>43</v>
      </c>
      <c r="B7" s="21" t="s">
        <v>46</v>
      </c>
      <c r="C7" s="19" t="s">
        <v>6</v>
      </c>
      <c r="D7" s="44" t="s">
        <v>134</v>
      </c>
    </row>
    <row r="8" spans="1:4" ht="30" x14ac:dyDescent="0.25">
      <c r="A8" s="71" t="s">
        <v>44</v>
      </c>
      <c r="B8" s="21" t="s">
        <v>47</v>
      </c>
      <c r="C8" s="19" t="s">
        <v>6</v>
      </c>
      <c r="D8" s="44" t="s">
        <v>134</v>
      </c>
    </row>
    <row r="9" spans="1:4" ht="30.75" thickBot="1" x14ac:dyDescent="0.3">
      <c r="A9" s="72" t="s">
        <v>214</v>
      </c>
      <c r="B9" s="48" t="s">
        <v>215</v>
      </c>
      <c r="C9" s="48" t="s">
        <v>6</v>
      </c>
      <c r="D9" s="49" t="s">
        <v>134</v>
      </c>
    </row>
  </sheetData>
  <mergeCells count="1">
    <mergeCell ref="B1:D1"/>
  </mergeCells>
  <hyperlinks>
    <hyperlink ref="A3" location="'Respuesta Estimulo'!A1" display="Respuesta Estimulo" xr:uid="{2DD1252A-3B59-4719-9ED8-94DDC348D295}"/>
    <hyperlink ref="A4" location="Tutorial!A1" display="Tutorial" xr:uid="{6BC0E564-5CC1-4E68-82EF-ECC693EFB1F8}"/>
    <hyperlink ref="A7" location="Nivel!A1" display="Nivel" xr:uid="{59357A80-6FEF-475E-AC74-177FADD28040}"/>
    <hyperlink ref="A8" location="Estimulo!A1" display="Estímulo" xr:uid="{8A4C20DB-179E-4529-B09E-FD43A4AAB698}"/>
    <hyperlink ref="A9" location="'Opciones de Respuesta'!A1" display="Opciones de Respuesta" xr:uid="{221005B4-BAAF-4A9A-95B2-A310AFB2EF80}"/>
    <hyperlink ref="A6" location="Tarea!A1" display="Tarea" xr:uid="{179E6993-B368-4856-88F1-B880B42989B8}"/>
    <hyperlink ref="A5" location="Tutorial!A1" display="Tutorial" xr:uid="{B139B732-F438-4515-83AF-9C183A300B13}"/>
  </hyperlink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D8691D-32B3-4891-8170-D76C3B8F74BD}">
          <x14:formula1>
            <xm:f>Valores!$A$3:$A$4</xm:f>
          </x14:formula1>
          <xm:sqref>C3:C5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CB1A-ACAF-48CA-A6AD-4DD0D3A676EA}">
  <dimension ref="A1:B4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12.85546875" bestFit="1" customWidth="1"/>
    <col min="2" max="2" width="52.7109375" bestFit="1" customWidth="1"/>
  </cols>
  <sheetData>
    <row r="1" spans="1:2" x14ac:dyDescent="0.25">
      <c r="A1" s="76" t="s">
        <v>5</v>
      </c>
      <c r="B1" s="77"/>
    </row>
    <row r="2" spans="1:2" x14ac:dyDescent="0.25">
      <c r="A2" s="34" t="s">
        <v>3</v>
      </c>
      <c r="B2" s="35" t="s">
        <v>2</v>
      </c>
    </row>
    <row r="3" spans="1:2" x14ac:dyDescent="0.25">
      <c r="A3" s="36" t="s">
        <v>6</v>
      </c>
      <c r="B3" s="37" t="s">
        <v>7</v>
      </c>
    </row>
    <row r="4" spans="1:2" ht="15.75" thickBot="1" x14ac:dyDescent="0.3">
      <c r="A4" s="38" t="s">
        <v>8</v>
      </c>
      <c r="B4" s="39" t="s">
        <v>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3248D-1B82-4DA6-94D4-6217A3463E15}">
  <dimension ref="A1:R23"/>
  <sheetViews>
    <sheetView zoomScale="70" zoomScaleNormal="70" workbookViewId="0">
      <selection activeCell="H18" sqref="H18:H19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9.85546875" style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4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x14ac:dyDescent="0.25">
      <c r="A2" s="3" t="s">
        <v>11</v>
      </c>
      <c r="B2" s="79" t="str">
        <f>'Listado Objetos de Dominio'!$A$3</f>
        <v>Respuesta Estimulo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8" ht="15.75" thickBot="1" x14ac:dyDescent="0.3">
      <c r="A3" s="51" t="s">
        <v>12</v>
      </c>
      <c r="B3" s="80" t="str">
        <f>'Listado Objetos de Dominio'!$B$3</f>
        <v>Respuestas del estudiante por cada estímulo durante una sesión.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4" spans="1:18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tr">
        <f>A18</f>
        <v>guardarDatosEstimulo</v>
      </c>
      <c r="R4" s="29" t="s">
        <v>148</v>
      </c>
    </row>
    <row r="5" spans="1:18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141</v>
      </c>
      <c r="Q5" s="50" t="s">
        <v>155</v>
      </c>
      <c r="R5" s="22" t="s">
        <v>153</v>
      </c>
    </row>
    <row r="6" spans="1:18" x14ac:dyDescent="0.25">
      <c r="A6" s="10" t="s">
        <v>59</v>
      </c>
      <c r="B6" s="4" t="s">
        <v>239</v>
      </c>
      <c r="C6" s="4">
        <v>36</v>
      </c>
      <c r="D6" s="4">
        <v>36</v>
      </c>
      <c r="E6" s="4"/>
      <c r="F6" s="4"/>
      <c r="G6" s="4"/>
      <c r="H6" s="4" t="s">
        <v>240</v>
      </c>
      <c r="I6" s="4"/>
      <c r="J6" s="12"/>
      <c r="K6" s="11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143</v>
      </c>
      <c r="Q6" s="28" t="s">
        <v>154</v>
      </c>
      <c r="R6" s="22" t="s">
        <v>81</v>
      </c>
    </row>
    <row r="7" spans="1:18" x14ac:dyDescent="0.25">
      <c r="A7" s="10" t="s">
        <v>72</v>
      </c>
      <c r="B7" s="4" t="s">
        <v>239</v>
      </c>
      <c r="C7" s="4">
        <v>36</v>
      </c>
      <c r="D7" s="4">
        <v>36</v>
      </c>
      <c r="E7" s="4"/>
      <c r="F7" s="4"/>
      <c r="G7" s="4"/>
      <c r="H7" s="4" t="s">
        <v>240</v>
      </c>
      <c r="I7" s="4"/>
      <c r="J7" s="12"/>
      <c r="K7" s="11" t="s">
        <v>53</v>
      </c>
      <c r="L7" s="4" t="s">
        <v>53</v>
      </c>
      <c r="M7" s="4" t="s">
        <v>52</v>
      </c>
      <c r="N7" s="4" t="s">
        <v>53</v>
      </c>
      <c r="O7" s="4" t="s">
        <v>53</v>
      </c>
      <c r="P7" s="6" t="s">
        <v>142</v>
      </c>
      <c r="Q7" s="28" t="s">
        <v>154</v>
      </c>
      <c r="R7" s="22" t="s">
        <v>81</v>
      </c>
    </row>
    <row r="8" spans="1:18" x14ac:dyDescent="0.25">
      <c r="A8" s="10" t="s">
        <v>74</v>
      </c>
      <c r="B8" s="4" t="s">
        <v>49</v>
      </c>
      <c r="C8" s="4"/>
      <c r="D8" s="4"/>
      <c r="E8" s="4"/>
      <c r="F8" s="4">
        <v>0</v>
      </c>
      <c r="G8" s="4"/>
      <c r="H8" s="4"/>
      <c r="I8" s="4">
        <v>0</v>
      </c>
      <c r="J8" s="12"/>
      <c r="K8" s="11" t="s">
        <v>53</v>
      </c>
      <c r="L8" s="4" t="s">
        <v>53</v>
      </c>
      <c r="M8" s="4" t="s">
        <v>52</v>
      </c>
      <c r="N8" s="4" t="s">
        <v>53</v>
      </c>
      <c r="O8" s="4" t="s">
        <v>53</v>
      </c>
      <c r="P8" s="6" t="s">
        <v>145</v>
      </c>
      <c r="Q8" s="28" t="s">
        <v>154</v>
      </c>
      <c r="R8" s="22" t="s">
        <v>81</v>
      </c>
    </row>
    <row r="9" spans="1:18" x14ac:dyDescent="0.25">
      <c r="A9" s="10" t="s">
        <v>75</v>
      </c>
      <c r="B9" s="4" t="s">
        <v>77</v>
      </c>
      <c r="C9" s="4"/>
      <c r="D9" s="4"/>
      <c r="E9" s="4">
        <v>8</v>
      </c>
      <c r="F9" s="4">
        <v>0</v>
      </c>
      <c r="G9" s="4"/>
      <c r="H9" s="4"/>
      <c r="I9" s="4">
        <v>0</v>
      </c>
      <c r="J9" s="12"/>
      <c r="K9" s="11" t="s">
        <v>53</v>
      </c>
      <c r="L9" s="4" t="s">
        <v>53</v>
      </c>
      <c r="M9" s="4" t="s">
        <v>52</v>
      </c>
      <c r="N9" s="4" t="s">
        <v>53</v>
      </c>
      <c r="O9" s="4" t="s">
        <v>53</v>
      </c>
      <c r="P9" s="6" t="s">
        <v>144</v>
      </c>
      <c r="Q9" s="28" t="s">
        <v>154</v>
      </c>
      <c r="R9" s="22" t="s">
        <v>81</v>
      </c>
    </row>
    <row r="10" spans="1:18" x14ac:dyDescent="0.25">
      <c r="A10" s="10" t="s">
        <v>76</v>
      </c>
      <c r="B10" s="4" t="s">
        <v>49</v>
      </c>
      <c r="C10" s="4"/>
      <c r="D10" s="4"/>
      <c r="E10" s="4"/>
      <c r="F10" s="4">
        <v>0</v>
      </c>
      <c r="G10" s="4"/>
      <c r="H10" s="4"/>
      <c r="I10" s="4">
        <v>0</v>
      </c>
      <c r="J10" s="12"/>
      <c r="K10" s="11" t="s">
        <v>53</v>
      </c>
      <c r="L10" s="4" t="s">
        <v>53</v>
      </c>
      <c r="M10" s="4" t="s">
        <v>52</v>
      </c>
      <c r="N10" s="4" t="s">
        <v>53</v>
      </c>
      <c r="O10" s="4" t="s">
        <v>53</v>
      </c>
      <c r="P10" s="6" t="s">
        <v>55</v>
      </c>
      <c r="Q10" s="28" t="s">
        <v>154</v>
      </c>
      <c r="R10" s="22" t="s">
        <v>81</v>
      </c>
    </row>
    <row r="11" spans="1:18" ht="15.75" thickBot="1" x14ac:dyDescent="0.3"/>
    <row r="12" spans="1:18" x14ac:dyDescent="0.25">
      <c r="A12" s="81" t="s">
        <v>28</v>
      </c>
      <c r="B12" s="82"/>
      <c r="C12" s="83"/>
    </row>
    <row r="13" spans="1:18" x14ac:dyDescent="0.25">
      <c r="A13" s="16" t="s">
        <v>29</v>
      </c>
      <c r="B13" s="15" t="s">
        <v>2</v>
      </c>
      <c r="C13" s="17" t="s">
        <v>30</v>
      </c>
    </row>
    <row r="14" spans="1:18" ht="68.25" customHeight="1" thickBot="1" x14ac:dyDescent="0.3">
      <c r="A14" s="13" t="s">
        <v>166</v>
      </c>
      <c r="B14" s="14" t="s">
        <v>165</v>
      </c>
      <c r="C14" s="31" t="s">
        <v>164</v>
      </c>
    </row>
    <row r="15" spans="1:18" ht="15.75" thickBot="1" x14ac:dyDescent="0.3"/>
    <row r="16" spans="1:18" x14ac:dyDescent="0.25">
      <c r="A16" s="84" t="s">
        <v>31</v>
      </c>
      <c r="B16" s="85"/>
      <c r="C16" s="85" t="s">
        <v>2</v>
      </c>
      <c r="D16" s="85"/>
      <c r="E16" s="85"/>
      <c r="F16" s="85"/>
      <c r="G16" s="85" t="s">
        <v>32</v>
      </c>
      <c r="H16" s="85"/>
      <c r="I16" s="85"/>
      <c r="J16" s="85" t="s">
        <v>33</v>
      </c>
      <c r="K16" s="85"/>
      <c r="L16" s="85"/>
      <c r="M16" s="85"/>
      <c r="N16" s="85"/>
      <c r="O16" s="85" t="s">
        <v>34</v>
      </c>
      <c r="P16" s="85"/>
      <c r="Q16" s="85" t="s">
        <v>35</v>
      </c>
      <c r="R16" s="92"/>
    </row>
    <row r="17" spans="1:18" x14ac:dyDescent="0.25">
      <c r="A17" s="86"/>
      <c r="B17" s="87"/>
      <c r="C17" s="87"/>
      <c r="D17" s="87"/>
      <c r="E17" s="87"/>
      <c r="F17" s="87"/>
      <c r="G17" s="18" t="s">
        <v>36</v>
      </c>
      <c r="H17" s="18" t="s">
        <v>37</v>
      </c>
      <c r="I17" s="18" t="s">
        <v>2</v>
      </c>
      <c r="J17" s="18" t="s">
        <v>14</v>
      </c>
      <c r="K17" s="87" t="s">
        <v>2</v>
      </c>
      <c r="L17" s="87"/>
      <c r="M17" s="87"/>
      <c r="N17" s="87"/>
      <c r="O17" s="18" t="s">
        <v>38</v>
      </c>
      <c r="P17" s="18" t="s">
        <v>2</v>
      </c>
      <c r="Q17" s="18" t="s">
        <v>39</v>
      </c>
      <c r="R17" s="24" t="s">
        <v>40</v>
      </c>
    </row>
    <row r="18" spans="1:18" x14ac:dyDescent="0.25">
      <c r="A18" s="94" t="s">
        <v>146</v>
      </c>
      <c r="B18" s="95"/>
      <c r="C18" s="93" t="s">
        <v>150</v>
      </c>
      <c r="D18" s="93"/>
      <c r="E18" s="93"/>
      <c r="F18" s="93"/>
      <c r="G18" s="19" t="s">
        <v>59</v>
      </c>
      <c r="H18" s="28" t="s">
        <v>239</v>
      </c>
      <c r="I18" s="47" t="s">
        <v>143</v>
      </c>
      <c r="J18" s="88" t="s">
        <v>54</v>
      </c>
      <c r="K18" s="93" t="s">
        <v>147</v>
      </c>
      <c r="L18" s="93"/>
      <c r="M18" s="93"/>
      <c r="N18" s="93"/>
      <c r="O18" s="19" t="s">
        <v>174</v>
      </c>
      <c r="P18" s="19" t="s">
        <v>86</v>
      </c>
      <c r="Q18" s="97" t="s">
        <v>79</v>
      </c>
      <c r="R18" s="96" t="s">
        <v>78</v>
      </c>
    </row>
    <row r="19" spans="1:18" x14ac:dyDescent="0.25">
      <c r="A19" s="94"/>
      <c r="B19" s="95"/>
      <c r="C19" s="93"/>
      <c r="D19" s="93"/>
      <c r="E19" s="93"/>
      <c r="F19" s="93"/>
      <c r="G19" s="19" t="s">
        <v>72</v>
      </c>
      <c r="H19" s="28" t="s">
        <v>239</v>
      </c>
      <c r="I19" s="47" t="s">
        <v>142</v>
      </c>
      <c r="J19" s="88"/>
      <c r="K19" s="93"/>
      <c r="L19" s="93"/>
      <c r="M19" s="93"/>
      <c r="N19" s="93"/>
      <c r="O19" s="19" t="s">
        <v>175</v>
      </c>
      <c r="P19" s="19" t="s">
        <v>127</v>
      </c>
      <c r="Q19" s="97"/>
      <c r="R19" s="96"/>
    </row>
    <row r="20" spans="1:18" x14ac:dyDescent="0.25">
      <c r="A20" s="94"/>
      <c r="B20" s="95"/>
      <c r="C20" s="93"/>
      <c r="D20" s="93"/>
      <c r="E20" s="93"/>
      <c r="F20" s="93"/>
      <c r="G20" s="19" t="s">
        <v>74</v>
      </c>
      <c r="H20" s="20" t="s">
        <v>49</v>
      </c>
      <c r="I20" s="47" t="s">
        <v>145</v>
      </c>
      <c r="J20" s="88"/>
      <c r="K20" s="93"/>
      <c r="L20" s="93"/>
      <c r="M20" s="93"/>
      <c r="N20" s="93"/>
      <c r="O20" s="19" t="s">
        <v>176</v>
      </c>
      <c r="P20" s="19" t="s">
        <v>179</v>
      </c>
      <c r="Q20" s="97"/>
      <c r="R20" s="96"/>
    </row>
    <row r="21" spans="1:18" x14ac:dyDescent="0.25">
      <c r="A21" s="94"/>
      <c r="B21" s="95"/>
      <c r="C21" s="93"/>
      <c r="D21" s="93"/>
      <c r="E21" s="93"/>
      <c r="F21" s="93"/>
      <c r="G21" s="19" t="s">
        <v>75</v>
      </c>
      <c r="H21" s="20" t="s">
        <v>77</v>
      </c>
      <c r="I21" s="47" t="s">
        <v>144</v>
      </c>
      <c r="J21" s="88"/>
      <c r="K21" s="93"/>
      <c r="L21" s="93"/>
      <c r="M21" s="93"/>
      <c r="N21" s="93"/>
      <c r="O21" s="98" t="s">
        <v>177</v>
      </c>
      <c r="P21" s="98" t="s">
        <v>178</v>
      </c>
      <c r="Q21" s="97"/>
      <c r="R21" s="96"/>
    </row>
    <row r="22" spans="1:18" x14ac:dyDescent="0.25">
      <c r="A22" s="94"/>
      <c r="B22" s="95"/>
      <c r="C22" s="93"/>
      <c r="D22" s="93"/>
      <c r="E22" s="93"/>
      <c r="F22" s="93"/>
      <c r="G22" s="19" t="s">
        <v>76</v>
      </c>
      <c r="H22" s="20" t="s">
        <v>49</v>
      </c>
      <c r="I22" s="47" t="s">
        <v>55</v>
      </c>
      <c r="J22" s="88"/>
      <c r="K22" s="93"/>
      <c r="L22" s="93"/>
      <c r="M22" s="93"/>
      <c r="N22" s="93"/>
      <c r="O22" s="99"/>
      <c r="P22" s="99"/>
      <c r="Q22" s="97"/>
      <c r="R22" s="96"/>
    </row>
    <row r="23" spans="1:18" x14ac:dyDescent="0.25">
      <c r="A23" s="89" t="s">
        <v>148</v>
      </c>
      <c r="B23" s="90"/>
      <c r="C23" s="91" t="s">
        <v>149</v>
      </c>
      <c r="D23" s="91"/>
      <c r="E23" s="91"/>
      <c r="F23" s="91"/>
      <c r="G23" s="22" t="s">
        <v>48</v>
      </c>
      <c r="H23" s="53" t="s">
        <v>239</v>
      </c>
      <c r="I23" s="22" t="s">
        <v>141</v>
      </c>
      <c r="J23" s="22" t="s">
        <v>54</v>
      </c>
      <c r="K23" s="91" t="s">
        <v>80</v>
      </c>
      <c r="L23" s="91"/>
      <c r="M23" s="91"/>
      <c r="N23" s="91"/>
      <c r="O23" s="22" t="s">
        <v>156</v>
      </c>
      <c r="P23" s="23" t="s">
        <v>151</v>
      </c>
      <c r="Q23" s="23" t="s">
        <v>152</v>
      </c>
      <c r="R23" s="25" t="s">
        <v>93</v>
      </c>
    </row>
  </sheetData>
  <mergeCells count="22">
    <mergeCell ref="J18:J22"/>
    <mergeCell ref="A23:B23"/>
    <mergeCell ref="C23:F23"/>
    <mergeCell ref="K23:N23"/>
    <mergeCell ref="Q16:R16"/>
    <mergeCell ref="K17:N17"/>
    <mergeCell ref="C18:F22"/>
    <mergeCell ref="A18:B22"/>
    <mergeCell ref="R18:R22"/>
    <mergeCell ref="Q18:Q22"/>
    <mergeCell ref="K18:N22"/>
    <mergeCell ref="O21:O22"/>
    <mergeCell ref="P21:P22"/>
    <mergeCell ref="A1:P1"/>
    <mergeCell ref="B2:P2"/>
    <mergeCell ref="B3:P3"/>
    <mergeCell ref="A12:C12"/>
    <mergeCell ref="A16:B17"/>
    <mergeCell ref="C16:F17"/>
    <mergeCell ref="G16:I16"/>
    <mergeCell ref="J16:N16"/>
    <mergeCell ref="O16:P16"/>
  </mergeCells>
  <hyperlinks>
    <hyperlink ref="A1" location="'Objetos de Dominio'!A1" display="Volver al inicio" xr:uid="{D2337650-12B8-4597-96E2-02FCCADF338D}"/>
    <hyperlink ref="A18:B18" location="'Objeto Dominio N'!Q4" display="Reponsabilidad 1" xr:uid="{EF50E8ED-DAD4-4174-984C-27842586288A}"/>
    <hyperlink ref="Q4" location="'Respuesta Estimulo'!A18" display="'Respuesta Estimulo'!A18" xr:uid="{D057EE90-389F-43C7-9F2A-B14C4880304A}"/>
    <hyperlink ref="A1:P1" location="'Listado Objetos de Dominio'!A1" display="&lt;-Volver al inicio" xr:uid="{6A45F07D-3672-4972-B0EA-15077BA4387A}"/>
    <hyperlink ref="A18:B22" location="'Respuesta Estimulo'!Q4" display="guardarDatosEstimulo" xr:uid="{BD9BDC2B-F5D7-455C-9604-D302437B4E23}"/>
    <hyperlink ref="R4" location="'Respuesta Estimulo'!A23" display="eliminarDatosEstimulo" xr:uid="{8792808B-02DF-47C3-B24D-07E5B0600BB5}"/>
    <hyperlink ref="A23:B23" location="'Respuesta Estimulo'!R4" display="eliminarDatosEstimulo" xr:uid="{7A7AA596-B643-4A09-81F6-88F0C971C37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8A11-E9A3-49F4-8402-6C6AAC9767EC}">
  <dimension ref="A1:T23"/>
  <sheetViews>
    <sheetView zoomScale="70" zoomScaleNormal="70" workbookViewId="0">
      <selection activeCell="H19" sqref="H19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42578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20" width="26.42578125" style="1" customWidth="1"/>
    <col min="21" max="16384" width="11.42578125" style="1"/>
  </cols>
  <sheetData>
    <row r="1" spans="1:20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20" x14ac:dyDescent="0.25">
      <c r="A2" s="3" t="s">
        <v>11</v>
      </c>
      <c r="B2" s="79" t="str">
        <f>'Listado Objetos de Dominio'!$A$4</f>
        <v>Tutorial Tarea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20" ht="15.75" thickBot="1" x14ac:dyDescent="0.3">
      <c r="A3" s="51" t="s">
        <v>12</v>
      </c>
      <c r="B3" s="80" t="str">
        <f>'Listado Objetos de Dominio'!$B$4</f>
        <v>Serie de instrucciones sobre como funciona la tarea antes de la sesión. Representada por un cerebrito de caricatura.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4" spans="1:20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">
        <v>168</v>
      </c>
      <c r="R4" s="29" t="s">
        <v>163</v>
      </c>
      <c r="S4" s="64" t="str">
        <f>A22</f>
        <v>siguienteMensaje</v>
      </c>
      <c r="T4" s="66" t="str">
        <f>A23</f>
        <v>finalizarTutorial</v>
      </c>
    </row>
    <row r="5" spans="1:20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56</v>
      </c>
      <c r="Q5" s="50" t="s">
        <v>188</v>
      </c>
      <c r="R5" s="22" t="s">
        <v>190</v>
      </c>
      <c r="S5" s="65" t="s">
        <v>81</v>
      </c>
      <c r="T5" s="61" t="s">
        <v>81</v>
      </c>
    </row>
    <row r="6" spans="1:20" x14ac:dyDescent="0.25">
      <c r="A6" s="10" t="s">
        <v>135</v>
      </c>
      <c r="B6" s="4" t="s">
        <v>50</v>
      </c>
      <c r="C6" s="4">
        <v>1</v>
      </c>
      <c r="D6" s="4">
        <v>500</v>
      </c>
      <c r="E6" s="4"/>
      <c r="F6" s="4"/>
      <c r="G6" s="4"/>
      <c r="H6" s="4"/>
      <c r="I6" s="4"/>
      <c r="J6" s="12"/>
      <c r="K6" s="11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136</v>
      </c>
      <c r="Q6" s="28" t="s">
        <v>189</v>
      </c>
      <c r="R6" s="22" t="s">
        <v>81</v>
      </c>
      <c r="S6" s="65" t="s">
        <v>81</v>
      </c>
      <c r="T6" s="61" t="s">
        <v>81</v>
      </c>
    </row>
    <row r="7" spans="1:20" x14ac:dyDescent="0.25">
      <c r="A7" s="10" t="s">
        <v>191</v>
      </c>
      <c r="B7" s="4" t="s">
        <v>49</v>
      </c>
      <c r="C7" s="4"/>
      <c r="D7" s="4"/>
      <c r="E7" s="4"/>
      <c r="F7" s="4">
        <v>0</v>
      </c>
      <c r="G7" s="4"/>
      <c r="H7" s="4"/>
      <c r="I7" s="4">
        <v>0</v>
      </c>
      <c r="J7" s="5"/>
      <c r="K7" s="4" t="s">
        <v>53</v>
      </c>
      <c r="L7" s="4" t="s">
        <v>53</v>
      </c>
      <c r="M7" s="4" t="s">
        <v>52</v>
      </c>
      <c r="N7" s="4" t="s">
        <v>53</v>
      </c>
      <c r="O7" s="4" t="s">
        <v>53</v>
      </c>
      <c r="P7" s="6" t="s">
        <v>57</v>
      </c>
      <c r="Q7" s="28" t="s">
        <v>189</v>
      </c>
      <c r="R7" s="22" t="s">
        <v>81</v>
      </c>
      <c r="S7" s="65" t="s">
        <v>106</v>
      </c>
      <c r="T7" s="61" t="s">
        <v>81</v>
      </c>
    </row>
    <row r="8" spans="1:20" x14ac:dyDescent="0.25">
      <c r="A8" s="10" t="s">
        <v>63</v>
      </c>
      <c r="B8" s="4" t="s">
        <v>239</v>
      </c>
      <c r="C8" s="4">
        <v>36</v>
      </c>
      <c r="D8" s="4">
        <v>36</v>
      </c>
      <c r="E8" s="4"/>
      <c r="F8" s="4"/>
      <c r="G8" s="4"/>
      <c r="H8" s="4" t="s">
        <v>240</v>
      </c>
      <c r="I8" s="4"/>
      <c r="J8" s="5"/>
      <c r="K8" s="4" t="s">
        <v>53</v>
      </c>
      <c r="L8" s="4" t="s">
        <v>53</v>
      </c>
      <c r="M8" s="4" t="s">
        <v>52</v>
      </c>
      <c r="N8" s="4" t="s">
        <v>53</v>
      </c>
      <c r="O8" s="4" t="s">
        <v>53</v>
      </c>
      <c r="P8" s="6" t="s">
        <v>137</v>
      </c>
      <c r="Q8" s="28" t="s">
        <v>189</v>
      </c>
      <c r="R8" s="22" t="s">
        <v>81</v>
      </c>
      <c r="S8" s="65" t="s">
        <v>81</v>
      </c>
      <c r="T8" s="61" t="s">
        <v>81</v>
      </c>
    </row>
    <row r="9" spans="1:20" x14ac:dyDescent="0.25">
      <c r="A9" s="10" t="s">
        <v>138</v>
      </c>
      <c r="B9" s="4" t="s">
        <v>49</v>
      </c>
      <c r="C9" s="4"/>
      <c r="D9" s="4"/>
      <c r="E9" s="4"/>
      <c r="F9" s="4"/>
      <c r="G9" s="4"/>
      <c r="H9" s="4"/>
      <c r="I9" s="4"/>
      <c r="J9" s="5"/>
      <c r="K9" s="4" t="s">
        <v>53</v>
      </c>
      <c r="L9" s="4" t="s">
        <v>53</v>
      </c>
      <c r="M9" s="4" t="s">
        <v>52</v>
      </c>
      <c r="N9" s="4" t="s">
        <v>53</v>
      </c>
      <c r="O9" s="4" t="s">
        <v>53</v>
      </c>
      <c r="P9" s="6" t="s">
        <v>139</v>
      </c>
      <c r="Q9" s="28" t="s">
        <v>189</v>
      </c>
      <c r="R9" s="22" t="s">
        <v>81</v>
      </c>
      <c r="S9" s="65" t="s">
        <v>81</v>
      </c>
      <c r="T9" s="61" t="s">
        <v>81</v>
      </c>
    </row>
    <row r="10" spans="1:20" ht="15.75" thickBot="1" x14ac:dyDescent="0.3"/>
    <row r="11" spans="1:20" x14ac:dyDescent="0.25">
      <c r="A11" s="81" t="s">
        <v>28</v>
      </c>
      <c r="B11" s="82"/>
      <c r="C11" s="83"/>
    </row>
    <row r="12" spans="1:20" x14ac:dyDescent="0.25">
      <c r="A12" s="16" t="s">
        <v>29</v>
      </c>
      <c r="B12" s="15" t="s">
        <v>2</v>
      </c>
      <c r="C12" s="17" t="s">
        <v>30</v>
      </c>
    </row>
    <row r="13" spans="1:20" ht="81.75" customHeight="1" thickBot="1" x14ac:dyDescent="0.3">
      <c r="A13" s="13" t="s">
        <v>108</v>
      </c>
      <c r="B13" s="14" t="s">
        <v>107</v>
      </c>
      <c r="C13" s="31" t="s">
        <v>135</v>
      </c>
    </row>
    <row r="14" spans="1:20" ht="15.75" thickBot="1" x14ac:dyDescent="0.3"/>
    <row r="15" spans="1:20" x14ac:dyDescent="0.25">
      <c r="A15" s="84" t="s">
        <v>31</v>
      </c>
      <c r="B15" s="85"/>
      <c r="C15" s="85" t="s">
        <v>2</v>
      </c>
      <c r="D15" s="85"/>
      <c r="E15" s="85"/>
      <c r="F15" s="85"/>
      <c r="G15" s="85" t="s">
        <v>32</v>
      </c>
      <c r="H15" s="85"/>
      <c r="I15" s="85"/>
      <c r="J15" s="85" t="s">
        <v>33</v>
      </c>
      <c r="K15" s="85"/>
      <c r="L15" s="85"/>
      <c r="M15" s="85"/>
      <c r="N15" s="85"/>
      <c r="O15" s="85" t="s">
        <v>34</v>
      </c>
      <c r="P15" s="85"/>
      <c r="Q15" s="85" t="s">
        <v>35</v>
      </c>
      <c r="R15" s="92"/>
    </row>
    <row r="16" spans="1:20" x14ac:dyDescent="0.25">
      <c r="A16" s="86"/>
      <c r="B16" s="87"/>
      <c r="C16" s="87"/>
      <c r="D16" s="87"/>
      <c r="E16" s="87"/>
      <c r="F16" s="87"/>
      <c r="G16" s="18" t="s">
        <v>36</v>
      </c>
      <c r="H16" s="18" t="s">
        <v>37</v>
      </c>
      <c r="I16" s="18" t="s">
        <v>2</v>
      </c>
      <c r="J16" s="18" t="s">
        <v>14</v>
      </c>
      <c r="K16" s="87" t="s">
        <v>2</v>
      </c>
      <c r="L16" s="87"/>
      <c r="M16" s="87"/>
      <c r="N16" s="87"/>
      <c r="O16" s="18" t="s">
        <v>38</v>
      </c>
      <c r="P16" s="18" t="s">
        <v>2</v>
      </c>
      <c r="Q16" s="18" t="s">
        <v>39</v>
      </c>
      <c r="R16" s="24" t="s">
        <v>40</v>
      </c>
    </row>
    <row r="17" spans="1:18" ht="15" customHeight="1" x14ac:dyDescent="0.25">
      <c r="A17" s="104" t="s">
        <v>168</v>
      </c>
      <c r="B17" s="105"/>
      <c r="C17" s="103" t="s">
        <v>169</v>
      </c>
      <c r="D17" s="103"/>
      <c r="E17" s="103"/>
      <c r="F17" s="103"/>
      <c r="G17" s="28" t="s">
        <v>135</v>
      </c>
      <c r="H17" s="28" t="s">
        <v>50</v>
      </c>
      <c r="I17" s="47" t="s">
        <v>136</v>
      </c>
      <c r="J17" s="88" t="s">
        <v>49</v>
      </c>
      <c r="K17" s="93" t="s">
        <v>173</v>
      </c>
      <c r="L17" s="93"/>
      <c r="M17" s="93"/>
      <c r="N17" s="93"/>
      <c r="O17" s="28" t="s">
        <v>180</v>
      </c>
      <c r="P17" s="52" t="s">
        <v>184</v>
      </c>
      <c r="Q17" s="97" t="s">
        <v>79</v>
      </c>
      <c r="R17" s="119" t="s">
        <v>78</v>
      </c>
    </row>
    <row r="18" spans="1:18" x14ac:dyDescent="0.25">
      <c r="A18" s="106"/>
      <c r="B18" s="107"/>
      <c r="C18" s="103"/>
      <c r="D18" s="103"/>
      <c r="E18" s="103"/>
      <c r="F18" s="103"/>
      <c r="G18" s="28" t="s">
        <v>191</v>
      </c>
      <c r="H18" s="28" t="s">
        <v>49</v>
      </c>
      <c r="I18" s="47" t="s">
        <v>57</v>
      </c>
      <c r="J18" s="88"/>
      <c r="K18" s="93"/>
      <c r="L18" s="93"/>
      <c r="M18" s="93"/>
      <c r="N18" s="93"/>
      <c r="O18" s="28" t="s">
        <v>181</v>
      </c>
      <c r="P18" s="52" t="s">
        <v>185</v>
      </c>
      <c r="Q18" s="97"/>
      <c r="R18" s="120"/>
    </row>
    <row r="19" spans="1:18" x14ac:dyDescent="0.25">
      <c r="A19" s="106"/>
      <c r="B19" s="107"/>
      <c r="C19" s="103"/>
      <c r="D19" s="103"/>
      <c r="E19" s="103"/>
      <c r="F19" s="103"/>
      <c r="G19" s="28" t="s">
        <v>63</v>
      </c>
      <c r="H19" s="28" t="s">
        <v>239</v>
      </c>
      <c r="I19" s="47" t="s">
        <v>137</v>
      </c>
      <c r="J19" s="88"/>
      <c r="K19" s="93"/>
      <c r="L19" s="93"/>
      <c r="M19" s="93"/>
      <c r="N19" s="93"/>
      <c r="O19" s="28" t="s">
        <v>182</v>
      </c>
      <c r="P19" s="52" t="s">
        <v>186</v>
      </c>
      <c r="Q19" s="97" t="s">
        <v>234</v>
      </c>
      <c r="R19" s="120"/>
    </row>
    <row r="20" spans="1:18" x14ac:dyDescent="0.25">
      <c r="A20" s="108"/>
      <c r="B20" s="109"/>
      <c r="C20" s="103"/>
      <c r="D20" s="103"/>
      <c r="E20" s="103"/>
      <c r="F20" s="103"/>
      <c r="G20" s="28" t="s">
        <v>138</v>
      </c>
      <c r="H20" s="28" t="s">
        <v>49</v>
      </c>
      <c r="I20" s="47" t="s">
        <v>139</v>
      </c>
      <c r="J20" s="88"/>
      <c r="K20" s="93"/>
      <c r="L20" s="93"/>
      <c r="M20" s="93"/>
      <c r="N20" s="93"/>
      <c r="O20" s="28" t="s">
        <v>183</v>
      </c>
      <c r="P20" s="52" t="s">
        <v>187</v>
      </c>
      <c r="Q20" s="97"/>
      <c r="R20" s="121"/>
    </row>
    <row r="21" spans="1:18" ht="15.75" customHeight="1" x14ac:dyDescent="0.25">
      <c r="A21" s="67" t="s">
        <v>163</v>
      </c>
      <c r="B21" s="68"/>
      <c r="C21" s="110" t="s">
        <v>167</v>
      </c>
      <c r="D21" s="111"/>
      <c r="E21" s="111"/>
      <c r="F21" s="112"/>
      <c r="G21" s="53" t="s">
        <v>48</v>
      </c>
      <c r="H21" s="53" t="s">
        <v>239</v>
      </c>
      <c r="I21" s="54" t="s">
        <v>56</v>
      </c>
      <c r="J21" s="55" t="s">
        <v>54</v>
      </c>
      <c r="K21" s="116" t="s">
        <v>80</v>
      </c>
      <c r="L21" s="117"/>
      <c r="M21" s="117"/>
      <c r="N21" s="118"/>
      <c r="O21" s="22" t="s">
        <v>172</v>
      </c>
      <c r="P21" s="23" t="s">
        <v>171</v>
      </c>
      <c r="Q21" s="33" t="s">
        <v>170</v>
      </c>
      <c r="R21" s="25" t="s">
        <v>93</v>
      </c>
    </row>
    <row r="22" spans="1:18" ht="30" x14ac:dyDescent="0.25">
      <c r="A22" s="113" t="s">
        <v>82</v>
      </c>
      <c r="B22" s="114"/>
      <c r="C22" s="115" t="s">
        <v>99</v>
      </c>
      <c r="D22" s="115"/>
      <c r="E22" s="115"/>
      <c r="F22" s="115"/>
      <c r="G22" s="26" t="s">
        <v>191</v>
      </c>
      <c r="H22" s="56" t="s">
        <v>49</v>
      </c>
      <c r="I22" s="27" t="s">
        <v>57</v>
      </c>
      <c r="J22" s="56" t="s">
        <v>49</v>
      </c>
      <c r="K22" s="115" t="s">
        <v>101</v>
      </c>
      <c r="L22" s="115"/>
      <c r="M22" s="115"/>
      <c r="N22" s="115"/>
      <c r="O22" s="26" t="s">
        <v>157</v>
      </c>
      <c r="P22" s="26" t="s">
        <v>102</v>
      </c>
      <c r="Q22" s="26" t="s">
        <v>103</v>
      </c>
      <c r="R22" s="57" t="s">
        <v>104</v>
      </c>
    </row>
    <row r="23" spans="1:18" x14ac:dyDescent="0.25">
      <c r="A23" s="100" t="s">
        <v>83</v>
      </c>
      <c r="B23" s="101"/>
      <c r="C23" s="102" t="s">
        <v>100</v>
      </c>
      <c r="D23" s="102"/>
      <c r="E23" s="102"/>
      <c r="F23" s="102"/>
      <c r="G23" s="59"/>
      <c r="H23" s="60"/>
      <c r="I23" s="58"/>
      <c r="J23" s="59" t="s">
        <v>54</v>
      </c>
      <c r="K23" s="102" t="s">
        <v>105</v>
      </c>
      <c r="L23" s="102"/>
      <c r="M23" s="102"/>
      <c r="N23" s="102"/>
      <c r="O23" s="61"/>
      <c r="P23" s="62"/>
      <c r="Q23" s="62"/>
      <c r="R23" s="63"/>
    </row>
  </sheetData>
  <mergeCells count="26">
    <mergeCell ref="Q15:R15"/>
    <mergeCell ref="K16:N16"/>
    <mergeCell ref="A22:B22"/>
    <mergeCell ref="C22:F22"/>
    <mergeCell ref="K22:N22"/>
    <mergeCell ref="J17:J20"/>
    <mergeCell ref="K17:N20"/>
    <mergeCell ref="K21:N21"/>
    <mergeCell ref="R17:R20"/>
    <mergeCell ref="Q17:Q18"/>
    <mergeCell ref="Q19:Q20"/>
    <mergeCell ref="A23:B23"/>
    <mergeCell ref="C23:F23"/>
    <mergeCell ref="K23:N23"/>
    <mergeCell ref="A1:P1"/>
    <mergeCell ref="B2:P2"/>
    <mergeCell ref="B3:P3"/>
    <mergeCell ref="A11:C11"/>
    <mergeCell ref="A15:B16"/>
    <mergeCell ref="C15:F16"/>
    <mergeCell ref="G15:I15"/>
    <mergeCell ref="J15:N15"/>
    <mergeCell ref="O15:P15"/>
    <mergeCell ref="C17:F20"/>
    <mergeCell ref="A17:B20"/>
    <mergeCell ref="C21:F21"/>
  </mergeCells>
  <hyperlinks>
    <hyperlink ref="A1" location="'Objetos de Dominio'!A1" display="Volver al inicio" xr:uid="{619D6E1B-54D9-44EE-9C0E-E16784A82EA2}"/>
    <hyperlink ref="T4" location="Tutorial!A23" display="Tutorial!A23" xr:uid="{8D862CDA-2519-4AAD-92BC-53241F92A4DE}"/>
    <hyperlink ref="A23:B23" location="Tutorial!T4" display="finalizarTutorial" xr:uid="{49D18467-F712-4938-9CD7-0D6CD310038E}"/>
    <hyperlink ref="A22:B22" location="Tutorial!S4" display="siguienteMensaje" xr:uid="{45847C80-8E7C-4FCC-93F9-AD9F5272730A}"/>
    <hyperlink ref="S4" location="Tutorial!A22" display="Tutorial!A22" xr:uid="{90774625-D38D-4796-B909-470051DBAB29}"/>
    <hyperlink ref="A1:P1" location="'Listado Objetos de Dominio'!A1" display="&lt;-Volver al inicio" xr:uid="{D9BE53DF-2C5E-450A-A1F7-BEF8A59DC6CE}"/>
    <hyperlink ref="Q4" location="Tutorial!A17" display="crearMensaje" xr:uid="{5186041B-32B9-43F3-9746-9E030760BF23}"/>
    <hyperlink ref="R4" location="Tutorial!A21" display="eliminarMensaje" xr:uid="{FEABFCE9-4B48-4EF3-B066-1D6BDC572589}"/>
    <hyperlink ref="A17:B20" location="Tutorial!Q4" display="crearMensaje" xr:uid="{974EF15C-AF15-45ED-9C8F-1D047E6B80B2}"/>
    <hyperlink ref="A21" location="Tutorial!R4" display="eliminarMensaje" xr:uid="{7D86F4F1-159A-4F1E-BE20-00A761BF38B5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914C-1CBD-4C18-9D04-3FC32D963659}">
  <dimension ref="A1:T23"/>
  <sheetViews>
    <sheetView zoomScale="70" zoomScaleNormal="70" workbookViewId="0">
      <selection activeCell="G20" sqref="G20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4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20" width="26.42578125" style="1" customWidth="1"/>
    <col min="21" max="16384" width="11.42578125" style="1"/>
  </cols>
  <sheetData>
    <row r="1" spans="1:20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20" x14ac:dyDescent="0.25">
      <c r="A2" s="3" t="s">
        <v>11</v>
      </c>
      <c r="B2" s="79" t="str">
        <f>'Listado Objetos de Dominio'!$A$5</f>
        <v>Tutorial Nivel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20" ht="15.75" thickBot="1" x14ac:dyDescent="0.3">
      <c r="A3" s="51" t="s">
        <v>12</v>
      </c>
      <c r="B3" s="80" t="str">
        <f>'Listado Objetos de Dominio'!$B$5</f>
        <v>Serie de instrucciones sobre como funciona un nivel antes de la sesión. Representada por un cerebrito de caricatura.</v>
      </c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4" spans="1:20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">
        <v>168</v>
      </c>
      <c r="R4" s="29" t="s">
        <v>163</v>
      </c>
      <c r="S4" s="64" t="str">
        <f>A22</f>
        <v>siguienteMensaje</v>
      </c>
      <c r="T4" s="66" t="str">
        <f>A23</f>
        <v>finalizarTutorial</v>
      </c>
    </row>
    <row r="5" spans="1:20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56</v>
      </c>
      <c r="Q5" s="50" t="s">
        <v>188</v>
      </c>
      <c r="R5" s="22" t="s">
        <v>190</v>
      </c>
      <c r="S5" s="65" t="s">
        <v>81</v>
      </c>
      <c r="T5" s="61" t="s">
        <v>81</v>
      </c>
    </row>
    <row r="6" spans="1:20" x14ac:dyDescent="0.25">
      <c r="A6" s="10" t="s">
        <v>135</v>
      </c>
      <c r="B6" s="4" t="s">
        <v>50</v>
      </c>
      <c r="C6" s="4">
        <v>1</v>
      </c>
      <c r="D6" s="4">
        <v>500</v>
      </c>
      <c r="E6" s="4"/>
      <c r="F6" s="4"/>
      <c r="G6" s="4"/>
      <c r="H6" s="4"/>
      <c r="I6" s="4"/>
      <c r="J6" s="12"/>
      <c r="K6" s="11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136</v>
      </c>
      <c r="Q6" s="28" t="s">
        <v>189</v>
      </c>
      <c r="R6" s="22" t="s">
        <v>81</v>
      </c>
      <c r="S6" s="65" t="s">
        <v>81</v>
      </c>
      <c r="T6" s="61" t="s">
        <v>81</v>
      </c>
    </row>
    <row r="7" spans="1:20" x14ac:dyDescent="0.25">
      <c r="A7" s="10" t="s">
        <v>191</v>
      </c>
      <c r="B7" s="4" t="s">
        <v>49</v>
      </c>
      <c r="C7" s="4"/>
      <c r="D7" s="4"/>
      <c r="E7" s="4"/>
      <c r="F7" s="4">
        <v>0</v>
      </c>
      <c r="G7" s="4"/>
      <c r="H7" s="4"/>
      <c r="I7" s="4">
        <v>0</v>
      </c>
      <c r="J7" s="5"/>
      <c r="K7" s="4" t="s">
        <v>53</v>
      </c>
      <c r="L7" s="4" t="s">
        <v>53</v>
      </c>
      <c r="M7" s="4" t="s">
        <v>52</v>
      </c>
      <c r="N7" s="4" t="s">
        <v>53</v>
      </c>
      <c r="O7" s="4" t="s">
        <v>53</v>
      </c>
      <c r="P7" s="6" t="s">
        <v>57</v>
      </c>
      <c r="Q7" s="28" t="s">
        <v>189</v>
      </c>
      <c r="R7" s="22" t="s">
        <v>81</v>
      </c>
      <c r="S7" s="65" t="s">
        <v>106</v>
      </c>
      <c r="T7" s="61" t="s">
        <v>81</v>
      </c>
    </row>
    <row r="8" spans="1:20" x14ac:dyDescent="0.25">
      <c r="A8" s="10" t="s">
        <v>73</v>
      </c>
      <c r="B8" s="4" t="s">
        <v>239</v>
      </c>
      <c r="C8" s="4">
        <v>36</v>
      </c>
      <c r="D8" s="4">
        <v>36</v>
      </c>
      <c r="E8" s="4"/>
      <c r="F8" s="4"/>
      <c r="G8" s="4"/>
      <c r="H8" s="4" t="s">
        <v>240</v>
      </c>
      <c r="I8" s="4"/>
      <c r="J8" s="5"/>
      <c r="K8" s="4" t="s">
        <v>53</v>
      </c>
      <c r="L8" s="4" t="s">
        <v>53</v>
      </c>
      <c r="M8" s="4" t="s">
        <v>52</v>
      </c>
      <c r="N8" s="4" t="s">
        <v>53</v>
      </c>
      <c r="O8" s="4" t="s">
        <v>53</v>
      </c>
      <c r="P8" s="6" t="s">
        <v>137</v>
      </c>
      <c r="Q8" s="28" t="s">
        <v>189</v>
      </c>
      <c r="R8" s="22" t="s">
        <v>81</v>
      </c>
      <c r="S8" s="65" t="s">
        <v>81</v>
      </c>
      <c r="T8" s="61" t="s">
        <v>81</v>
      </c>
    </row>
    <row r="9" spans="1:20" x14ac:dyDescent="0.25">
      <c r="A9" s="10" t="s">
        <v>138</v>
      </c>
      <c r="B9" s="4" t="s">
        <v>49</v>
      </c>
      <c r="C9" s="4"/>
      <c r="D9" s="4"/>
      <c r="E9" s="4"/>
      <c r="F9" s="4"/>
      <c r="G9" s="4"/>
      <c r="H9" s="4"/>
      <c r="I9" s="4"/>
      <c r="J9" s="5"/>
      <c r="K9" s="4" t="s">
        <v>53</v>
      </c>
      <c r="L9" s="4" t="s">
        <v>53</v>
      </c>
      <c r="M9" s="4" t="s">
        <v>52</v>
      </c>
      <c r="N9" s="4" t="s">
        <v>53</v>
      </c>
      <c r="O9" s="4" t="s">
        <v>53</v>
      </c>
      <c r="P9" s="6" t="s">
        <v>139</v>
      </c>
      <c r="Q9" s="28" t="s">
        <v>189</v>
      </c>
      <c r="R9" s="22" t="s">
        <v>81</v>
      </c>
      <c r="S9" s="65" t="s">
        <v>81</v>
      </c>
      <c r="T9" s="61" t="s">
        <v>81</v>
      </c>
    </row>
    <row r="10" spans="1:20" ht="15.75" thickBot="1" x14ac:dyDescent="0.3"/>
    <row r="11" spans="1:20" x14ac:dyDescent="0.25">
      <c r="A11" s="81" t="s">
        <v>28</v>
      </c>
      <c r="B11" s="82"/>
      <c r="C11" s="83"/>
    </row>
    <row r="12" spans="1:20" x14ac:dyDescent="0.25">
      <c r="A12" s="16" t="s">
        <v>29</v>
      </c>
      <c r="B12" s="15" t="s">
        <v>2</v>
      </c>
      <c r="C12" s="17" t="s">
        <v>30</v>
      </c>
    </row>
    <row r="13" spans="1:20" ht="81.75" customHeight="1" thickBot="1" x14ac:dyDescent="0.3">
      <c r="A13" s="13" t="s">
        <v>108</v>
      </c>
      <c r="B13" s="14" t="s">
        <v>107</v>
      </c>
      <c r="C13" s="31" t="s">
        <v>135</v>
      </c>
    </row>
    <row r="14" spans="1:20" ht="15.75" thickBot="1" x14ac:dyDescent="0.3"/>
    <row r="15" spans="1:20" x14ac:dyDescent="0.25">
      <c r="A15" s="84" t="s">
        <v>31</v>
      </c>
      <c r="B15" s="85"/>
      <c r="C15" s="85" t="s">
        <v>2</v>
      </c>
      <c r="D15" s="85"/>
      <c r="E15" s="85"/>
      <c r="F15" s="85"/>
      <c r="G15" s="85" t="s">
        <v>32</v>
      </c>
      <c r="H15" s="85"/>
      <c r="I15" s="85"/>
      <c r="J15" s="85" t="s">
        <v>33</v>
      </c>
      <c r="K15" s="85"/>
      <c r="L15" s="85"/>
      <c r="M15" s="85"/>
      <c r="N15" s="85"/>
      <c r="O15" s="85" t="s">
        <v>34</v>
      </c>
      <c r="P15" s="85"/>
      <c r="Q15" s="85" t="s">
        <v>35</v>
      </c>
      <c r="R15" s="92"/>
    </row>
    <row r="16" spans="1:20" x14ac:dyDescent="0.25">
      <c r="A16" s="86"/>
      <c r="B16" s="87"/>
      <c r="C16" s="87"/>
      <c r="D16" s="87"/>
      <c r="E16" s="87"/>
      <c r="F16" s="87"/>
      <c r="G16" s="18" t="s">
        <v>36</v>
      </c>
      <c r="H16" s="18" t="s">
        <v>37</v>
      </c>
      <c r="I16" s="18" t="s">
        <v>2</v>
      </c>
      <c r="J16" s="18" t="s">
        <v>14</v>
      </c>
      <c r="K16" s="87" t="s">
        <v>2</v>
      </c>
      <c r="L16" s="87"/>
      <c r="M16" s="87"/>
      <c r="N16" s="87"/>
      <c r="O16" s="18" t="s">
        <v>38</v>
      </c>
      <c r="P16" s="18" t="s">
        <v>2</v>
      </c>
      <c r="Q16" s="18" t="s">
        <v>39</v>
      </c>
      <c r="R16" s="24" t="s">
        <v>40</v>
      </c>
    </row>
    <row r="17" spans="1:18" ht="15" customHeight="1" x14ac:dyDescent="0.25">
      <c r="A17" s="104" t="s">
        <v>168</v>
      </c>
      <c r="B17" s="105"/>
      <c r="C17" s="103" t="s">
        <v>169</v>
      </c>
      <c r="D17" s="103"/>
      <c r="E17" s="103"/>
      <c r="F17" s="103"/>
      <c r="G17" s="28" t="s">
        <v>135</v>
      </c>
      <c r="H17" s="28" t="s">
        <v>50</v>
      </c>
      <c r="I17" s="47" t="s">
        <v>136</v>
      </c>
      <c r="J17" s="88" t="s">
        <v>49</v>
      </c>
      <c r="K17" s="93" t="s">
        <v>173</v>
      </c>
      <c r="L17" s="93"/>
      <c r="M17" s="93"/>
      <c r="N17" s="93"/>
      <c r="O17" s="28" t="s">
        <v>180</v>
      </c>
      <c r="P17" s="52" t="s">
        <v>184</v>
      </c>
      <c r="Q17" s="97" t="s">
        <v>79</v>
      </c>
      <c r="R17" s="119" t="s">
        <v>78</v>
      </c>
    </row>
    <row r="18" spans="1:18" x14ac:dyDescent="0.25">
      <c r="A18" s="106"/>
      <c r="B18" s="107"/>
      <c r="C18" s="103"/>
      <c r="D18" s="103"/>
      <c r="E18" s="103"/>
      <c r="F18" s="103"/>
      <c r="G18" s="28" t="s">
        <v>191</v>
      </c>
      <c r="H18" s="28" t="s">
        <v>49</v>
      </c>
      <c r="I18" s="47" t="s">
        <v>57</v>
      </c>
      <c r="J18" s="88"/>
      <c r="K18" s="93"/>
      <c r="L18" s="93"/>
      <c r="M18" s="93"/>
      <c r="N18" s="93"/>
      <c r="O18" s="28" t="s">
        <v>181</v>
      </c>
      <c r="P18" s="52" t="s">
        <v>185</v>
      </c>
      <c r="Q18" s="97"/>
      <c r="R18" s="120"/>
    </row>
    <row r="19" spans="1:18" x14ac:dyDescent="0.25">
      <c r="A19" s="106"/>
      <c r="B19" s="107"/>
      <c r="C19" s="103"/>
      <c r="D19" s="103"/>
      <c r="E19" s="103"/>
      <c r="F19" s="103"/>
      <c r="G19" s="28" t="s">
        <v>73</v>
      </c>
      <c r="H19" s="28" t="s">
        <v>239</v>
      </c>
      <c r="I19" s="47" t="s">
        <v>137</v>
      </c>
      <c r="J19" s="88"/>
      <c r="K19" s="93"/>
      <c r="L19" s="93"/>
      <c r="M19" s="93"/>
      <c r="N19" s="93"/>
      <c r="O19" s="28" t="s">
        <v>182</v>
      </c>
      <c r="P19" s="52" t="s">
        <v>186</v>
      </c>
      <c r="Q19" s="97" t="s">
        <v>234</v>
      </c>
      <c r="R19" s="120"/>
    </row>
    <row r="20" spans="1:18" x14ac:dyDescent="0.25">
      <c r="A20" s="108"/>
      <c r="B20" s="109"/>
      <c r="C20" s="103"/>
      <c r="D20" s="103"/>
      <c r="E20" s="103"/>
      <c r="F20" s="103"/>
      <c r="G20" s="28" t="s">
        <v>138</v>
      </c>
      <c r="H20" s="28" t="s">
        <v>49</v>
      </c>
      <c r="I20" s="47" t="s">
        <v>139</v>
      </c>
      <c r="J20" s="88"/>
      <c r="K20" s="93"/>
      <c r="L20" s="93"/>
      <c r="M20" s="93"/>
      <c r="N20" s="93"/>
      <c r="O20" s="28" t="s">
        <v>183</v>
      </c>
      <c r="P20" s="52" t="s">
        <v>187</v>
      </c>
      <c r="Q20" s="97"/>
      <c r="R20" s="121"/>
    </row>
    <row r="21" spans="1:18" ht="15.75" customHeight="1" x14ac:dyDescent="0.25">
      <c r="A21" s="67" t="s">
        <v>163</v>
      </c>
      <c r="B21" s="68"/>
      <c r="C21" s="110" t="s">
        <v>167</v>
      </c>
      <c r="D21" s="111"/>
      <c r="E21" s="111"/>
      <c r="F21" s="112"/>
      <c r="G21" s="53" t="s">
        <v>48</v>
      </c>
      <c r="H21" s="53" t="s">
        <v>239</v>
      </c>
      <c r="I21" s="54" t="s">
        <v>56</v>
      </c>
      <c r="J21" s="55" t="s">
        <v>54</v>
      </c>
      <c r="K21" s="116" t="s">
        <v>80</v>
      </c>
      <c r="L21" s="117"/>
      <c r="M21" s="117"/>
      <c r="N21" s="118"/>
      <c r="O21" s="22" t="s">
        <v>172</v>
      </c>
      <c r="P21" s="23" t="s">
        <v>171</v>
      </c>
      <c r="Q21" s="33" t="s">
        <v>170</v>
      </c>
      <c r="R21" s="25" t="s">
        <v>93</v>
      </c>
    </row>
    <row r="22" spans="1:18" ht="30" x14ac:dyDescent="0.25">
      <c r="A22" s="113" t="s">
        <v>82</v>
      </c>
      <c r="B22" s="114"/>
      <c r="C22" s="115" t="s">
        <v>99</v>
      </c>
      <c r="D22" s="115"/>
      <c r="E22" s="115"/>
      <c r="F22" s="115"/>
      <c r="G22" s="26" t="s">
        <v>191</v>
      </c>
      <c r="H22" s="56" t="s">
        <v>49</v>
      </c>
      <c r="I22" s="27" t="s">
        <v>57</v>
      </c>
      <c r="J22" s="56" t="s">
        <v>49</v>
      </c>
      <c r="K22" s="115" t="s">
        <v>101</v>
      </c>
      <c r="L22" s="115"/>
      <c r="M22" s="115"/>
      <c r="N22" s="115"/>
      <c r="O22" s="26" t="s">
        <v>157</v>
      </c>
      <c r="P22" s="26" t="s">
        <v>102</v>
      </c>
      <c r="Q22" s="26" t="s">
        <v>103</v>
      </c>
      <c r="R22" s="57" t="s">
        <v>104</v>
      </c>
    </row>
    <row r="23" spans="1:18" x14ac:dyDescent="0.25">
      <c r="A23" s="100" t="s">
        <v>83</v>
      </c>
      <c r="B23" s="101"/>
      <c r="C23" s="102" t="s">
        <v>100</v>
      </c>
      <c r="D23" s="102"/>
      <c r="E23" s="102"/>
      <c r="F23" s="102"/>
      <c r="G23" s="59"/>
      <c r="H23" s="60"/>
      <c r="I23" s="58"/>
      <c r="J23" s="59" t="s">
        <v>54</v>
      </c>
      <c r="K23" s="102" t="s">
        <v>105</v>
      </c>
      <c r="L23" s="102"/>
      <c r="M23" s="102"/>
      <c r="N23" s="102"/>
      <c r="O23" s="61"/>
      <c r="P23" s="62"/>
      <c r="Q23" s="62"/>
      <c r="R23" s="63"/>
    </row>
  </sheetData>
  <mergeCells count="26">
    <mergeCell ref="K22:N22"/>
    <mergeCell ref="A23:B23"/>
    <mergeCell ref="C23:F23"/>
    <mergeCell ref="K23:N23"/>
    <mergeCell ref="Q15:R15"/>
    <mergeCell ref="K16:N16"/>
    <mergeCell ref="A17:B20"/>
    <mergeCell ref="C17:F20"/>
    <mergeCell ref="J17:J20"/>
    <mergeCell ref="K17:N20"/>
    <mergeCell ref="Q17:Q18"/>
    <mergeCell ref="R17:R20"/>
    <mergeCell ref="Q19:Q20"/>
    <mergeCell ref="C21:F21"/>
    <mergeCell ref="K21:N21"/>
    <mergeCell ref="A22:B22"/>
    <mergeCell ref="C22:F22"/>
    <mergeCell ref="A1:P1"/>
    <mergeCell ref="B2:P2"/>
    <mergeCell ref="B3:P3"/>
    <mergeCell ref="A11:C11"/>
    <mergeCell ref="A15:B16"/>
    <mergeCell ref="C15:F16"/>
    <mergeCell ref="G15:I15"/>
    <mergeCell ref="J15:N15"/>
    <mergeCell ref="O15:P15"/>
  </mergeCells>
  <hyperlinks>
    <hyperlink ref="A1" location="'Objetos de Dominio'!A1" display="Volver al inicio" xr:uid="{0B91F1B8-5620-4211-9831-50A8865A18A3}"/>
    <hyperlink ref="T4" location="Tutorial!A23" display="Tutorial!A23" xr:uid="{B9EB4D59-91DC-45A2-87EE-EDFBD34587D7}"/>
    <hyperlink ref="A23:B23" location="Tutorial!T4" display="finalizarTutorial" xr:uid="{7BC78338-450E-4209-AAC5-F178905E41D1}"/>
    <hyperlink ref="A22:B22" location="Tutorial!S4" display="siguienteMensaje" xr:uid="{D56DE5B8-BAFB-4D75-B58E-067B17C11F8C}"/>
    <hyperlink ref="S4" location="Tutorial!A22" display="Tutorial!A22" xr:uid="{DB587A83-049B-4A41-8356-CA4548E5CFB2}"/>
    <hyperlink ref="A1:P1" location="'Listado Objetos de Dominio'!A1" display="&lt;-Volver al inicio" xr:uid="{9C5A4DA6-CA4B-49AD-A8E9-6C35BF22958F}"/>
    <hyperlink ref="Q4" location="Tutorial!A17" display="crearMensaje" xr:uid="{84493233-B070-4103-85A3-7BDE975F66F5}"/>
    <hyperlink ref="R4" location="Tutorial!A21" display="eliminarMensaje" xr:uid="{CC57C359-A6D9-4F48-B08E-22C5D1232B00}"/>
    <hyperlink ref="A17:B20" location="Tutorial!Q4" display="crearMensaje" xr:uid="{3CB0FE6C-A509-46FF-9C7C-7C5C11E30D4E}"/>
    <hyperlink ref="A21" location="Tutorial!R4" display="eliminarMensaje" xr:uid="{BE0BA428-495A-4C3B-826B-F8F4F0A675A5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7482-0E70-42B1-A987-42284CFE0283}">
  <dimension ref="A1:R17"/>
  <sheetViews>
    <sheetView zoomScale="70" zoomScaleNormal="70" workbookViewId="0">
      <selection activeCell="B5" sqref="B5:H5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5703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x14ac:dyDescent="0.25">
      <c r="A2" s="3" t="s">
        <v>11</v>
      </c>
      <c r="B2" s="79" t="str">
        <f>'Listado Objetos de Dominio'!$A$6</f>
        <v>Tarea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8" ht="15.75" thickBot="1" x14ac:dyDescent="0.3">
      <c r="A3" s="3" t="s">
        <v>12</v>
      </c>
      <c r="B3" s="125" t="str">
        <f>'Listado Objetos de Dominio'!$B$6</f>
        <v>Serie de niveles y estímulos para que el entrenador evalúe las habilidades en razonamiento lógico del estudiante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</row>
    <row r="4" spans="1:18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tr">
        <f>A14</f>
        <v>crearTarea</v>
      </c>
      <c r="R4" s="29" t="str">
        <f>A16</f>
        <v>eliminarTarea</v>
      </c>
    </row>
    <row r="5" spans="1:18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58</v>
      </c>
      <c r="Q5" s="28" t="s">
        <v>81</v>
      </c>
      <c r="R5" s="22" t="s">
        <v>121</v>
      </c>
    </row>
    <row r="6" spans="1:18" x14ac:dyDescent="0.25">
      <c r="A6" s="10" t="s">
        <v>51</v>
      </c>
      <c r="B6" s="4" t="s">
        <v>50</v>
      </c>
      <c r="C6" s="4">
        <v>1</v>
      </c>
      <c r="D6" s="4">
        <v>100</v>
      </c>
      <c r="E6" s="4"/>
      <c r="F6" s="4"/>
      <c r="G6" s="4"/>
      <c r="H6" s="4"/>
      <c r="I6" s="4"/>
      <c r="J6" s="5"/>
      <c r="K6" s="4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60</v>
      </c>
      <c r="Q6" s="28" t="s">
        <v>120</v>
      </c>
      <c r="R6" s="22" t="s">
        <v>81</v>
      </c>
    </row>
    <row r="7" spans="1:18" ht="15.75" thickBot="1" x14ac:dyDescent="0.3"/>
    <row r="8" spans="1:18" x14ac:dyDescent="0.25">
      <c r="A8" s="81" t="s">
        <v>28</v>
      </c>
      <c r="B8" s="82"/>
      <c r="C8" s="83"/>
    </row>
    <row r="9" spans="1:18" x14ac:dyDescent="0.25">
      <c r="A9" s="16" t="s">
        <v>29</v>
      </c>
      <c r="B9" s="15" t="s">
        <v>2</v>
      </c>
      <c r="C9" s="17" t="s">
        <v>30</v>
      </c>
    </row>
    <row r="10" spans="1:18" ht="76.5" customHeight="1" thickBot="1" x14ac:dyDescent="0.3">
      <c r="A10" s="13" t="s">
        <v>1</v>
      </c>
      <c r="B10" s="14" t="s">
        <v>216</v>
      </c>
      <c r="C10" s="31" t="s">
        <v>51</v>
      </c>
    </row>
    <row r="11" spans="1:18" ht="15.75" thickBot="1" x14ac:dyDescent="0.3"/>
    <row r="12" spans="1:18" x14ac:dyDescent="0.25">
      <c r="A12" s="84" t="s">
        <v>31</v>
      </c>
      <c r="B12" s="85"/>
      <c r="C12" s="85" t="s">
        <v>2</v>
      </c>
      <c r="D12" s="85"/>
      <c r="E12" s="85"/>
      <c r="F12" s="85"/>
      <c r="G12" s="85" t="s">
        <v>32</v>
      </c>
      <c r="H12" s="85"/>
      <c r="I12" s="85"/>
      <c r="J12" s="85" t="s">
        <v>33</v>
      </c>
      <c r="K12" s="85"/>
      <c r="L12" s="85"/>
      <c r="M12" s="85"/>
      <c r="N12" s="85"/>
      <c r="O12" s="85" t="s">
        <v>34</v>
      </c>
      <c r="P12" s="85"/>
      <c r="Q12" s="85" t="s">
        <v>35</v>
      </c>
      <c r="R12" s="92"/>
    </row>
    <row r="13" spans="1:18" x14ac:dyDescent="0.25">
      <c r="A13" s="86"/>
      <c r="B13" s="87"/>
      <c r="C13" s="87"/>
      <c r="D13" s="87"/>
      <c r="E13" s="87"/>
      <c r="F13" s="87"/>
      <c r="G13" s="18" t="s">
        <v>36</v>
      </c>
      <c r="H13" s="18" t="s">
        <v>37</v>
      </c>
      <c r="I13" s="18" t="s">
        <v>2</v>
      </c>
      <c r="J13" s="18" t="s">
        <v>14</v>
      </c>
      <c r="K13" s="87" t="s">
        <v>2</v>
      </c>
      <c r="L13" s="87"/>
      <c r="M13" s="87"/>
      <c r="N13" s="87"/>
      <c r="O13" s="18" t="s">
        <v>38</v>
      </c>
      <c r="P13" s="18" t="s">
        <v>2</v>
      </c>
      <c r="Q13" s="18" t="s">
        <v>39</v>
      </c>
      <c r="R13" s="24" t="s">
        <v>40</v>
      </c>
    </row>
    <row r="14" spans="1:18" x14ac:dyDescent="0.25">
      <c r="A14" s="104" t="s">
        <v>116</v>
      </c>
      <c r="B14" s="105"/>
      <c r="C14" s="126" t="s">
        <v>118</v>
      </c>
      <c r="D14" s="127"/>
      <c r="E14" s="127"/>
      <c r="F14" s="128"/>
      <c r="G14" s="98" t="s">
        <v>51</v>
      </c>
      <c r="H14" s="133" t="s">
        <v>50</v>
      </c>
      <c r="I14" s="135" t="s">
        <v>60</v>
      </c>
      <c r="J14" s="133" t="s">
        <v>54</v>
      </c>
      <c r="K14" s="126" t="s">
        <v>87</v>
      </c>
      <c r="L14" s="127"/>
      <c r="M14" s="127"/>
      <c r="N14" s="128"/>
      <c r="O14" s="98" t="s">
        <v>158</v>
      </c>
      <c r="P14" s="98" t="s">
        <v>112</v>
      </c>
      <c r="Q14" s="98" t="s">
        <v>113</v>
      </c>
      <c r="R14" s="138" t="s">
        <v>95</v>
      </c>
    </row>
    <row r="15" spans="1:18" x14ac:dyDescent="0.25">
      <c r="A15" s="106"/>
      <c r="B15" s="107"/>
      <c r="C15" s="129"/>
      <c r="D15" s="130"/>
      <c r="E15" s="130"/>
      <c r="F15" s="131"/>
      <c r="G15" s="99"/>
      <c r="H15" s="134"/>
      <c r="I15" s="136"/>
      <c r="J15" s="137"/>
      <c r="K15" s="129"/>
      <c r="L15" s="130"/>
      <c r="M15" s="130"/>
      <c r="N15" s="131"/>
      <c r="O15" s="132"/>
      <c r="P15" s="132"/>
      <c r="Q15" s="132"/>
      <c r="R15" s="139"/>
    </row>
    <row r="16" spans="1:18" x14ac:dyDescent="0.25">
      <c r="A16" s="122" t="s">
        <v>117</v>
      </c>
      <c r="B16" s="123"/>
      <c r="C16" s="124" t="s">
        <v>119</v>
      </c>
      <c r="D16" s="124"/>
      <c r="E16" s="124"/>
      <c r="F16" s="124"/>
      <c r="G16" s="33" t="s">
        <v>48</v>
      </c>
      <c r="H16" s="53" t="s">
        <v>239</v>
      </c>
      <c r="I16" s="32" t="s">
        <v>61</v>
      </c>
      <c r="J16" s="33" t="s">
        <v>54</v>
      </c>
      <c r="K16" s="124" t="s">
        <v>80</v>
      </c>
      <c r="L16" s="124"/>
      <c r="M16" s="124"/>
      <c r="N16" s="124"/>
      <c r="O16" s="22" t="s">
        <v>159</v>
      </c>
      <c r="P16" s="23" t="s">
        <v>115</v>
      </c>
      <c r="Q16" s="23" t="s">
        <v>114</v>
      </c>
      <c r="R16" s="25" t="s">
        <v>93</v>
      </c>
    </row>
    <row r="17" spans="1:2" x14ac:dyDescent="0.25">
      <c r="A17" s="69"/>
      <c r="B17" s="69"/>
    </row>
  </sheetData>
  <mergeCells count="25">
    <mergeCell ref="Q12:R12"/>
    <mergeCell ref="K13:N13"/>
    <mergeCell ref="G14:G15"/>
    <mergeCell ref="H14:H15"/>
    <mergeCell ref="I14:I15"/>
    <mergeCell ref="J14:J15"/>
    <mergeCell ref="K14:N15"/>
    <mergeCell ref="R14:R15"/>
    <mergeCell ref="Q14:Q15"/>
    <mergeCell ref="A16:B16"/>
    <mergeCell ref="C16:F16"/>
    <mergeCell ref="K16:N16"/>
    <mergeCell ref="A1:P1"/>
    <mergeCell ref="B2:P2"/>
    <mergeCell ref="B3:P3"/>
    <mergeCell ref="A8:C8"/>
    <mergeCell ref="A12:B13"/>
    <mergeCell ref="C12:F13"/>
    <mergeCell ref="G12:I12"/>
    <mergeCell ref="J12:N12"/>
    <mergeCell ref="O12:P12"/>
    <mergeCell ref="C14:F15"/>
    <mergeCell ref="A14:B15"/>
    <mergeCell ref="O14:O15"/>
    <mergeCell ref="P14:P15"/>
  </mergeCells>
  <hyperlinks>
    <hyperlink ref="A1" location="'Objetos de Dominio'!A1" display="Volver al inicio" xr:uid="{1828DAD6-6F19-4554-84A9-74C7BB658A41}"/>
    <hyperlink ref="R4" location="Tarea!A16" display="Tarea!A16" xr:uid="{D31A6BD4-9960-4FF0-A4D3-367721E9650A}"/>
    <hyperlink ref="Q4" location="Tarea!A14" display="Tarea!A14" xr:uid="{38779614-C757-4B21-9109-4C5181968E0A}"/>
    <hyperlink ref="A1:P1" location="'Listado Objetos de Dominio'!A1" display="&lt;-Volver al inicio" xr:uid="{A60EC94F-FFE3-48D1-B399-46FAEE979C38}"/>
    <hyperlink ref="A16:B16" location="Tarea!R4" display="eliminarTarea" xr:uid="{D7B3B1FF-2A77-465D-A79E-8ACDAB3CA4FE}"/>
    <hyperlink ref="A14:B14" location="'Objeto Dominio N'!Q4" display="Reponsabilidad 1" xr:uid="{03F2E601-D53B-483D-BDDB-8A425086DFE6}"/>
    <hyperlink ref="A14:B15" location="Tarea!Q4" display="crearTarea" xr:uid="{CD7C64CA-2698-4FEF-8BB4-1BC01AA6EE4E}"/>
  </hyperlink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2DAB-B522-4956-AE20-8941EF312E98}">
  <dimension ref="A1:R17"/>
  <sheetViews>
    <sheetView zoomScale="70" zoomScaleNormal="70" workbookViewId="0">
      <selection activeCell="H16" sqref="H16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4.1406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x14ac:dyDescent="0.25">
      <c r="A2" s="3" t="s">
        <v>11</v>
      </c>
      <c r="B2" s="79" t="str">
        <f>'Listado Objetos de Dominio'!$A$7</f>
        <v>Nivel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8" ht="15.75" thickBot="1" x14ac:dyDescent="0.3">
      <c r="A3" s="3" t="s">
        <v>12</v>
      </c>
      <c r="B3" s="125" t="str">
        <f>'Listado Objetos de Dominio'!$B$7</f>
        <v>Subdivisión de una Tarea que aumenta progresivamente su dificultad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</row>
    <row r="4" spans="1:18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tr">
        <f>A15</f>
        <v>crearNivel</v>
      </c>
      <c r="R4" s="29" t="str">
        <f>A17</f>
        <v>eliminarNivel</v>
      </c>
    </row>
    <row r="5" spans="1:18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61</v>
      </c>
      <c r="Q5" s="28" t="s">
        <v>96</v>
      </c>
      <c r="R5" s="22" t="s">
        <v>98</v>
      </c>
    </row>
    <row r="6" spans="1:18" x14ac:dyDescent="0.25">
      <c r="A6" s="10" t="s">
        <v>62</v>
      </c>
      <c r="B6" s="4" t="s">
        <v>49</v>
      </c>
      <c r="C6" s="4"/>
      <c r="D6" s="4"/>
      <c r="E6" s="4"/>
      <c r="F6" s="4">
        <v>1</v>
      </c>
      <c r="G6" s="4">
        <v>3</v>
      </c>
      <c r="H6" s="4"/>
      <c r="I6" s="4"/>
      <c r="J6" s="12"/>
      <c r="K6" s="11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65</v>
      </c>
      <c r="Q6" s="28" t="s">
        <v>97</v>
      </c>
      <c r="R6" s="22" t="s">
        <v>81</v>
      </c>
    </row>
    <row r="7" spans="1:18" x14ac:dyDescent="0.25">
      <c r="A7" s="4" t="s">
        <v>63</v>
      </c>
      <c r="B7" s="4" t="s">
        <v>239</v>
      </c>
      <c r="C7" s="4">
        <v>36</v>
      </c>
      <c r="D7" s="4">
        <v>36</v>
      </c>
      <c r="E7" s="4"/>
      <c r="F7" s="4"/>
      <c r="G7" s="4"/>
      <c r="H7" s="4" t="s">
        <v>240</v>
      </c>
      <c r="I7" s="4"/>
      <c r="J7" s="12"/>
      <c r="K7" s="11" t="s">
        <v>53</v>
      </c>
      <c r="L7" s="4" t="s">
        <v>53</v>
      </c>
      <c r="M7" s="4" t="s">
        <v>52</v>
      </c>
      <c r="N7" s="4" t="s">
        <v>53</v>
      </c>
      <c r="O7" s="4" t="s">
        <v>53</v>
      </c>
      <c r="P7" s="6" t="s">
        <v>192</v>
      </c>
      <c r="Q7" s="28" t="s">
        <v>97</v>
      </c>
      <c r="R7" s="22" t="s">
        <v>81</v>
      </c>
    </row>
    <row r="8" spans="1:18" ht="15.75" thickBot="1" x14ac:dyDescent="0.3"/>
    <row r="9" spans="1:18" x14ac:dyDescent="0.25">
      <c r="A9" s="81" t="s">
        <v>28</v>
      </c>
      <c r="B9" s="82"/>
      <c r="C9" s="83"/>
    </row>
    <row r="10" spans="1:18" x14ac:dyDescent="0.25">
      <c r="A10" s="16" t="s">
        <v>29</v>
      </c>
      <c r="B10" s="15" t="s">
        <v>2</v>
      </c>
      <c r="C10" s="17" t="s">
        <v>30</v>
      </c>
    </row>
    <row r="11" spans="1:18" ht="86.25" customHeight="1" thickBot="1" x14ac:dyDescent="0.3">
      <c r="A11" s="13" t="s">
        <v>66</v>
      </c>
      <c r="B11" s="14" t="s">
        <v>67</v>
      </c>
      <c r="C11" s="31" t="s">
        <v>68</v>
      </c>
    </row>
    <row r="12" spans="1:18" ht="15.75" thickBot="1" x14ac:dyDescent="0.3"/>
    <row r="13" spans="1:18" x14ac:dyDescent="0.25">
      <c r="A13" s="84" t="s">
        <v>31</v>
      </c>
      <c r="B13" s="85"/>
      <c r="C13" s="85" t="s">
        <v>2</v>
      </c>
      <c r="D13" s="85"/>
      <c r="E13" s="85"/>
      <c r="F13" s="85"/>
      <c r="G13" s="85" t="s">
        <v>32</v>
      </c>
      <c r="H13" s="85"/>
      <c r="I13" s="85"/>
      <c r="J13" s="85" t="s">
        <v>33</v>
      </c>
      <c r="K13" s="85"/>
      <c r="L13" s="85"/>
      <c r="M13" s="85"/>
      <c r="N13" s="85"/>
      <c r="O13" s="85" t="s">
        <v>34</v>
      </c>
      <c r="P13" s="85"/>
      <c r="Q13" s="85" t="s">
        <v>35</v>
      </c>
      <c r="R13" s="92"/>
    </row>
    <row r="14" spans="1:18" x14ac:dyDescent="0.25">
      <c r="A14" s="86"/>
      <c r="B14" s="87"/>
      <c r="C14" s="87"/>
      <c r="D14" s="87"/>
      <c r="E14" s="87"/>
      <c r="F14" s="87"/>
      <c r="G14" s="18" t="s">
        <v>36</v>
      </c>
      <c r="H14" s="18" t="s">
        <v>37</v>
      </c>
      <c r="I14" s="18" t="s">
        <v>2</v>
      </c>
      <c r="J14" s="18" t="s">
        <v>14</v>
      </c>
      <c r="K14" s="87" t="s">
        <v>2</v>
      </c>
      <c r="L14" s="87"/>
      <c r="M14" s="87"/>
      <c r="N14" s="87"/>
      <c r="O14" s="18" t="s">
        <v>38</v>
      </c>
      <c r="P14" s="18" t="s">
        <v>2</v>
      </c>
      <c r="Q14" s="18" t="s">
        <v>39</v>
      </c>
      <c r="R14" s="24" t="s">
        <v>40</v>
      </c>
    </row>
    <row r="15" spans="1:18" x14ac:dyDescent="0.25">
      <c r="A15" s="104" t="s">
        <v>85</v>
      </c>
      <c r="B15" s="105"/>
      <c r="C15" s="126" t="s">
        <v>89</v>
      </c>
      <c r="D15" s="127"/>
      <c r="E15" s="127"/>
      <c r="F15" s="128"/>
      <c r="G15" s="19" t="s">
        <v>62</v>
      </c>
      <c r="H15" s="20" t="s">
        <v>49</v>
      </c>
      <c r="I15" s="21" t="s">
        <v>65</v>
      </c>
      <c r="J15" s="133" t="s">
        <v>54</v>
      </c>
      <c r="K15" s="126" t="s">
        <v>124</v>
      </c>
      <c r="L15" s="127"/>
      <c r="M15" s="127"/>
      <c r="N15" s="128"/>
      <c r="O15" s="98" t="s">
        <v>161</v>
      </c>
      <c r="P15" s="98" t="s">
        <v>193</v>
      </c>
      <c r="Q15" s="98" t="s">
        <v>94</v>
      </c>
      <c r="R15" s="138" t="s">
        <v>95</v>
      </c>
    </row>
    <row r="16" spans="1:18" x14ac:dyDescent="0.25">
      <c r="A16" s="108"/>
      <c r="B16" s="109"/>
      <c r="C16" s="141"/>
      <c r="D16" s="142"/>
      <c r="E16" s="142"/>
      <c r="F16" s="143"/>
      <c r="G16" s="19" t="s">
        <v>63</v>
      </c>
      <c r="H16" s="28" t="s">
        <v>239</v>
      </c>
      <c r="I16" s="21" t="s">
        <v>192</v>
      </c>
      <c r="J16" s="134"/>
      <c r="K16" s="141"/>
      <c r="L16" s="142"/>
      <c r="M16" s="142"/>
      <c r="N16" s="143"/>
      <c r="O16" s="99"/>
      <c r="P16" s="99"/>
      <c r="Q16" s="99"/>
      <c r="R16" s="144"/>
    </row>
    <row r="17" spans="1:18" x14ac:dyDescent="0.25">
      <c r="A17" s="122" t="s">
        <v>88</v>
      </c>
      <c r="B17" s="123"/>
      <c r="C17" s="124" t="s">
        <v>90</v>
      </c>
      <c r="D17" s="124"/>
      <c r="E17" s="124"/>
      <c r="F17" s="124"/>
      <c r="G17" s="33" t="s">
        <v>48</v>
      </c>
      <c r="H17" s="53" t="s">
        <v>239</v>
      </c>
      <c r="I17" s="32" t="s">
        <v>61</v>
      </c>
      <c r="J17" s="70" t="s">
        <v>54</v>
      </c>
      <c r="K17" s="140" t="s">
        <v>80</v>
      </c>
      <c r="L17" s="140"/>
      <c r="M17" s="140"/>
      <c r="N17" s="140"/>
      <c r="O17" s="22" t="s">
        <v>160</v>
      </c>
      <c r="P17" s="23" t="s">
        <v>91</v>
      </c>
      <c r="Q17" s="23" t="s">
        <v>92</v>
      </c>
      <c r="R17" s="25" t="s">
        <v>93</v>
      </c>
    </row>
  </sheetData>
  <mergeCells count="22">
    <mergeCell ref="Q13:R13"/>
    <mergeCell ref="K14:N14"/>
    <mergeCell ref="A17:B17"/>
    <mergeCell ref="C17:F17"/>
    <mergeCell ref="K17:N17"/>
    <mergeCell ref="C15:F16"/>
    <mergeCell ref="A15:B16"/>
    <mergeCell ref="J15:J16"/>
    <mergeCell ref="K15:N16"/>
    <mergeCell ref="O15:O16"/>
    <mergeCell ref="P15:P16"/>
    <mergeCell ref="Q15:Q16"/>
    <mergeCell ref="R15:R16"/>
    <mergeCell ref="A1:P1"/>
    <mergeCell ref="B2:P2"/>
    <mergeCell ref="B3:P3"/>
    <mergeCell ref="A9:C9"/>
    <mergeCell ref="A13:B14"/>
    <mergeCell ref="C13:F14"/>
    <mergeCell ref="G13:I13"/>
    <mergeCell ref="J13:N13"/>
    <mergeCell ref="O13:P13"/>
  </mergeCells>
  <hyperlinks>
    <hyperlink ref="A1" location="'Objetos de Dominio'!A1" display="Volver al inicio" xr:uid="{CE2D2DDE-B743-424E-B948-A5418C328A01}"/>
    <hyperlink ref="R4" location="Nivel!A17" display="Nivel!A17" xr:uid="{5A6180F4-5F6A-4236-90A3-DA4028D33E75}"/>
    <hyperlink ref="A17:B17" location="Nivel!R4" display="eliminarNivel" xr:uid="{0E9A1E3A-C58D-4B46-82EC-E0A7ACF5CE9B}"/>
    <hyperlink ref="A15:B15" location="Nivel!Q4" display="crearNivel" xr:uid="{F5F04E7A-8004-46A5-B050-9FA80136BB5C}"/>
    <hyperlink ref="Q4" location="Nivel!A14" display="Nivel!A14" xr:uid="{113FFA00-510E-4233-A407-8F1B898BA7AF}"/>
    <hyperlink ref="A1:P1" location="'Listado Objetos de Dominio'!A1" display="&lt;-Volver al inicio" xr:uid="{CAB306F0-0716-4DDB-8464-950B0EC789C7}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DA62-EEA8-422B-812C-80FE73AEAA7A}">
  <dimension ref="A1:R25"/>
  <sheetViews>
    <sheetView zoomScale="70" zoomScaleNormal="70" workbookViewId="0">
      <selection activeCell="I22" sqref="I22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4257812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x14ac:dyDescent="0.25">
      <c r="A2" s="3" t="s">
        <v>11</v>
      </c>
      <c r="B2" s="79" t="str">
        <f>'Listado Objetos de Dominio'!$A$8</f>
        <v>Estímulo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8" ht="15.75" thickBot="1" x14ac:dyDescent="0.3">
      <c r="A3" s="3" t="s">
        <v>12</v>
      </c>
      <c r="B3" s="125" t="str">
        <f>'Listado Objetos de Dominio'!$B$8</f>
        <v>Elementos únicos de cada nivel para que el estudiante interactúe con las tareas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</row>
    <row r="4" spans="1:18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tr">
        <f>A19</f>
        <v>crearEstimulo</v>
      </c>
      <c r="R4" s="29" t="str">
        <f>A25</f>
        <v>eliminarEstimulo</v>
      </c>
    </row>
    <row r="5" spans="1:18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69</v>
      </c>
      <c r="Q5" s="28" t="s">
        <v>131</v>
      </c>
      <c r="R5" s="22" t="s">
        <v>130</v>
      </c>
    </row>
    <row r="6" spans="1:18" x14ac:dyDescent="0.25">
      <c r="A6" s="10" t="s">
        <v>72</v>
      </c>
      <c r="B6" s="4" t="s">
        <v>239</v>
      </c>
      <c r="C6" s="4">
        <v>36</v>
      </c>
      <c r="D6" s="4">
        <v>36</v>
      </c>
      <c r="E6" s="4"/>
      <c r="F6" s="4"/>
      <c r="G6" s="4"/>
      <c r="H6" s="4" t="s">
        <v>240</v>
      </c>
      <c r="I6" s="4"/>
      <c r="J6" s="12"/>
      <c r="K6" s="11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71</v>
      </c>
      <c r="Q6" s="28" t="s">
        <v>129</v>
      </c>
      <c r="R6" s="22" t="s">
        <v>81</v>
      </c>
    </row>
    <row r="7" spans="1:18" x14ac:dyDescent="0.25">
      <c r="A7" s="10" t="s">
        <v>63</v>
      </c>
      <c r="B7" s="4" t="s">
        <v>239</v>
      </c>
      <c r="C7" s="4">
        <v>36</v>
      </c>
      <c r="D7" s="4">
        <v>36</v>
      </c>
      <c r="E7" s="4"/>
      <c r="F7" s="4"/>
      <c r="G7" s="4"/>
      <c r="H7" s="4" t="s">
        <v>240</v>
      </c>
      <c r="I7" s="4"/>
      <c r="J7" s="12"/>
      <c r="K7" s="11" t="s">
        <v>53</v>
      </c>
      <c r="L7" s="4" t="s">
        <v>53</v>
      </c>
      <c r="M7" s="4" t="s">
        <v>52</v>
      </c>
      <c r="N7" s="4" t="s">
        <v>53</v>
      </c>
      <c r="O7" s="4" t="s">
        <v>53</v>
      </c>
      <c r="P7" s="6" t="s">
        <v>64</v>
      </c>
      <c r="Q7" s="28" t="s">
        <v>129</v>
      </c>
      <c r="R7" s="22" t="s">
        <v>81</v>
      </c>
    </row>
    <row r="8" spans="1:18" x14ac:dyDescent="0.25">
      <c r="A8" s="10" t="s">
        <v>73</v>
      </c>
      <c r="B8" s="4" t="s">
        <v>239</v>
      </c>
      <c r="C8" s="4">
        <v>36</v>
      </c>
      <c r="D8" s="4">
        <v>36</v>
      </c>
      <c r="E8" s="4"/>
      <c r="F8" s="4"/>
      <c r="G8" s="4"/>
      <c r="H8" s="4" t="s">
        <v>240</v>
      </c>
      <c r="I8" s="4"/>
      <c r="J8" s="12"/>
      <c r="K8" s="11" t="s">
        <v>53</v>
      </c>
      <c r="L8" s="4" t="s">
        <v>53</v>
      </c>
      <c r="M8" s="4" t="s">
        <v>52</v>
      </c>
      <c r="N8" s="4" t="s">
        <v>53</v>
      </c>
      <c r="O8" s="4" t="s">
        <v>53</v>
      </c>
      <c r="P8" s="6" t="s">
        <v>70</v>
      </c>
      <c r="Q8" s="28" t="s">
        <v>129</v>
      </c>
      <c r="R8" s="22" t="s">
        <v>81</v>
      </c>
    </row>
    <row r="9" spans="1:18" x14ac:dyDescent="0.25">
      <c r="A9" s="10" t="s">
        <v>217</v>
      </c>
      <c r="B9" s="4" t="s">
        <v>239</v>
      </c>
      <c r="C9" s="4">
        <v>36</v>
      </c>
      <c r="D9" s="4">
        <v>36</v>
      </c>
      <c r="E9" s="4"/>
      <c r="F9" s="4"/>
      <c r="G9" s="4"/>
      <c r="H9" s="4" t="s">
        <v>240</v>
      </c>
      <c r="I9" s="4"/>
      <c r="J9" s="12"/>
      <c r="K9" s="11" t="s">
        <v>53</v>
      </c>
      <c r="L9" s="4" t="s">
        <v>53</v>
      </c>
      <c r="M9" s="4" t="s">
        <v>52</v>
      </c>
      <c r="N9" s="4" t="s">
        <v>53</v>
      </c>
      <c r="O9" s="4" t="s">
        <v>53</v>
      </c>
      <c r="P9" s="6" t="s">
        <v>241</v>
      </c>
      <c r="Q9" s="28" t="s">
        <v>129</v>
      </c>
      <c r="R9" s="22" t="s">
        <v>81</v>
      </c>
    </row>
    <row r="10" spans="1:18" x14ac:dyDescent="0.25">
      <c r="A10" s="10" t="s">
        <v>138</v>
      </c>
      <c r="B10" s="4" t="s">
        <v>49</v>
      </c>
      <c r="C10" s="4"/>
      <c r="D10" s="4"/>
      <c r="E10" s="4"/>
      <c r="F10" s="4">
        <v>0</v>
      </c>
      <c r="G10" s="4"/>
      <c r="H10" s="4"/>
      <c r="I10" s="4">
        <v>0</v>
      </c>
      <c r="J10" s="5"/>
      <c r="K10" s="11" t="s">
        <v>53</v>
      </c>
      <c r="L10" s="4" t="s">
        <v>53</v>
      </c>
      <c r="M10" s="4" t="s">
        <v>52</v>
      </c>
      <c r="N10" s="4" t="s">
        <v>53</v>
      </c>
      <c r="O10" s="4" t="s">
        <v>53</v>
      </c>
      <c r="P10" s="6" t="s">
        <v>140</v>
      </c>
      <c r="Q10" s="28" t="s">
        <v>129</v>
      </c>
      <c r="R10" s="22" t="s">
        <v>81</v>
      </c>
    </row>
    <row r="11" spans="1:18" x14ac:dyDescent="0.25">
      <c r="A11" s="4" t="s">
        <v>218</v>
      </c>
      <c r="B11" s="4" t="s">
        <v>50</v>
      </c>
      <c r="C11" s="4"/>
      <c r="D11" s="4"/>
      <c r="E11" s="4"/>
      <c r="F11" s="4"/>
      <c r="G11" s="4">
        <v>25</v>
      </c>
      <c r="H11" s="4">
        <v>500</v>
      </c>
      <c r="I11" s="4"/>
      <c r="J11" s="5"/>
      <c r="K11" s="11" t="s">
        <v>53</v>
      </c>
      <c r="L11" s="4" t="s">
        <v>53</v>
      </c>
      <c r="M11" s="4" t="s">
        <v>52</v>
      </c>
      <c r="N11" s="4" t="s">
        <v>53</v>
      </c>
      <c r="O11" s="4" t="s">
        <v>53</v>
      </c>
      <c r="P11" s="6" t="s">
        <v>219</v>
      </c>
      <c r="Q11" s="28" t="s">
        <v>129</v>
      </c>
      <c r="R11" s="22" t="s">
        <v>81</v>
      </c>
    </row>
    <row r="12" spans="1:18" ht="15.75" thickBot="1" x14ac:dyDescent="0.3"/>
    <row r="13" spans="1:18" x14ac:dyDescent="0.25">
      <c r="A13" s="81" t="s">
        <v>28</v>
      </c>
      <c r="B13" s="82"/>
      <c r="C13" s="83"/>
    </row>
    <row r="14" spans="1:18" x14ac:dyDescent="0.25">
      <c r="A14" s="16" t="s">
        <v>29</v>
      </c>
      <c r="B14" s="15" t="s">
        <v>2</v>
      </c>
      <c r="C14" s="17" t="s">
        <v>30</v>
      </c>
    </row>
    <row r="15" spans="1:18" ht="66" customHeight="1" thickBot="1" x14ac:dyDescent="0.3">
      <c r="A15" s="46" t="s">
        <v>110</v>
      </c>
      <c r="B15" s="14" t="s">
        <v>109</v>
      </c>
      <c r="C15" s="45" t="s">
        <v>111</v>
      </c>
    </row>
    <row r="16" spans="1:18" ht="15.75" thickBot="1" x14ac:dyDescent="0.3"/>
    <row r="17" spans="1:18" x14ac:dyDescent="0.25">
      <c r="A17" s="84" t="s">
        <v>31</v>
      </c>
      <c r="B17" s="85"/>
      <c r="C17" s="85" t="s">
        <v>2</v>
      </c>
      <c r="D17" s="85"/>
      <c r="E17" s="85"/>
      <c r="F17" s="85"/>
      <c r="G17" s="85" t="s">
        <v>32</v>
      </c>
      <c r="H17" s="85"/>
      <c r="I17" s="85"/>
      <c r="J17" s="85" t="s">
        <v>33</v>
      </c>
      <c r="K17" s="85"/>
      <c r="L17" s="85"/>
      <c r="M17" s="85"/>
      <c r="N17" s="85"/>
      <c r="O17" s="85" t="s">
        <v>34</v>
      </c>
      <c r="P17" s="85"/>
      <c r="Q17" s="85" t="s">
        <v>35</v>
      </c>
      <c r="R17" s="92"/>
    </row>
    <row r="18" spans="1:18" x14ac:dyDescent="0.25">
      <c r="A18" s="86"/>
      <c r="B18" s="87"/>
      <c r="C18" s="87"/>
      <c r="D18" s="87"/>
      <c r="E18" s="87"/>
      <c r="F18" s="87"/>
      <c r="G18" s="18" t="s">
        <v>36</v>
      </c>
      <c r="H18" s="18" t="s">
        <v>37</v>
      </c>
      <c r="I18" s="18" t="s">
        <v>2</v>
      </c>
      <c r="J18" s="18" t="s">
        <v>14</v>
      </c>
      <c r="K18" s="87" t="s">
        <v>2</v>
      </c>
      <c r="L18" s="87"/>
      <c r="M18" s="87"/>
      <c r="N18" s="87"/>
      <c r="O18" s="18" t="s">
        <v>38</v>
      </c>
      <c r="P18" s="18" t="s">
        <v>2</v>
      </c>
      <c r="Q18" s="18" t="s">
        <v>39</v>
      </c>
      <c r="R18" s="24" t="s">
        <v>40</v>
      </c>
    </row>
    <row r="19" spans="1:18" x14ac:dyDescent="0.25">
      <c r="A19" s="104" t="s">
        <v>84</v>
      </c>
      <c r="B19" s="105"/>
      <c r="C19" s="126" t="s">
        <v>122</v>
      </c>
      <c r="D19" s="127"/>
      <c r="E19" s="127"/>
      <c r="F19" s="128"/>
      <c r="G19" s="19" t="s">
        <v>72</v>
      </c>
      <c r="H19" s="28" t="s">
        <v>239</v>
      </c>
      <c r="I19" s="47" t="s">
        <v>71</v>
      </c>
      <c r="J19" s="133" t="s">
        <v>54</v>
      </c>
      <c r="K19" s="126" t="s">
        <v>124</v>
      </c>
      <c r="L19" s="127"/>
      <c r="M19" s="127"/>
      <c r="N19" s="128"/>
      <c r="O19" s="19" t="s">
        <v>232</v>
      </c>
      <c r="P19" s="19" t="s">
        <v>221</v>
      </c>
      <c r="Q19" s="97" t="s">
        <v>128</v>
      </c>
      <c r="R19" s="138" t="s">
        <v>95</v>
      </c>
    </row>
    <row r="20" spans="1:18" x14ac:dyDescent="0.25">
      <c r="A20" s="106"/>
      <c r="B20" s="107"/>
      <c r="C20" s="129"/>
      <c r="D20" s="130"/>
      <c r="E20" s="130"/>
      <c r="F20" s="131"/>
      <c r="G20" s="19" t="s">
        <v>63</v>
      </c>
      <c r="H20" s="28" t="s">
        <v>239</v>
      </c>
      <c r="I20" s="47" t="s">
        <v>64</v>
      </c>
      <c r="J20" s="137"/>
      <c r="K20" s="129"/>
      <c r="L20" s="130"/>
      <c r="M20" s="130"/>
      <c r="N20" s="131"/>
      <c r="O20" s="19" t="s">
        <v>231</v>
      </c>
      <c r="P20" s="19" t="s">
        <v>222</v>
      </c>
      <c r="Q20" s="97"/>
      <c r="R20" s="139"/>
    </row>
    <row r="21" spans="1:18" x14ac:dyDescent="0.25">
      <c r="A21" s="106"/>
      <c r="B21" s="107"/>
      <c r="C21" s="129"/>
      <c r="D21" s="130"/>
      <c r="E21" s="130"/>
      <c r="F21" s="131"/>
      <c r="G21" s="19" t="s">
        <v>73</v>
      </c>
      <c r="H21" s="28" t="s">
        <v>239</v>
      </c>
      <c r="I21" s="47" t="s">
        <v>70</v>
      </c>
      <c r="J21" s="137"/>
      <c r="K21" s="129"/>
      <c r="L21" s="130"/>
      <c r="M21" s="130"/>
      <c r="N21" s="131"/>
      <c r="O21" s="19" t="s">
        <v>230</v>
      </c>
      <c r="P21" s="19" t="s">
        <v>223</v>
      </c>
      <c r="Q21" s="97"/>
      <c r="R21" s="139"/>
    </row>
    <row r="22" spans="1:18" x14ac:dyDescent="0.25">
      <c r="A22" s="106"/>
      <c r="B22" s="107"/>
      <c r="C22" s="129"/>
      <c r="D22" s="130"/>
      <c r="E22" s="130"/>
      <c r="F22" s="131"/>
      <c r="G22" s="19" t="s">
        <v>217</v>
      </c>
      <c r="H22" s="28" t="s">
        <v>239</v>
      </c>
      <c r="I22" s="47" t="s">
        <v>220</v>
      </c>
      <c r="J22" s="137"/>
      <c r="K22" s="129"/>
      <c r="L22" s="130"/>
      <c r="M22" s="130"/>
      <c r="N22" s="131"/>
      <c r="O22" s="19" t="s">
        <v>229</v>
      </c>
      <c r="P22" s="19" t="s">
        <v>224</v>
      </c>
      <c r="Q22" s="98" t="s">
        <v>233</v>
      </c>
      <c r="R22" s="139"/>
    </row>
    <row r="23" spans="1:18" x14ac:dyDescent="0.25">
      <c r="A23" s="106"/>
      <c r="B23" s="107"/>
      <c r="C23" s="129"/>
      <c r="D23" s="130"/>
      <c r="E23" s="130"/>
      <c r="F23" s="131"/>
      <c r="G23" s="19" t="s">
        <v>138</v>
      </c>
      <c r="H23" s="20" t="s">
        <v>49</v>
      </c>
      <c r="I23" s="47" t="s">
        <v>140</v>
      </c>
      <c r="J23" s="137"/>
      <c r="K23" s="129"/>
      <c r="L23" s="130"/>
      <c r="M23" s="130"/>
      <c r="N23" s="131"/>
      <c r="O23" s="19" t="s">
        <v>228</v>
      </c>
      <c r="P23" s="19" t="s">
        <v>225</v>
      </c>
      <c r="Q23" s="132"/>
      <c r="R23" s="139"/>
    </row>
    <row r="24" spans="1:18" x14ac:dyDescent="0.25">
      <c r="A24" s="108"/>
      <c r="B24" s="109"/>
      <c r="C24" s="141"/>
      <c r="D24" s="142"/>
      <c r="E24" s="142"/>
      <c r="F24" s="143"/>
      <c r="G24" s="19" t="s">
        <v>218</v>
      </c>
      <c r="H24" s="20" t="s">
        <v>50</v>
      </c>
      <c r="I24" s="47" t="s">
        <v>219</v>
      </c>
      <c r="J24" s="134"/>
      <c r="K24" s="141"/>
      <c r="L24" s="142"/>
      <c r="M24" s="142"/>
      <c r="N24" s="143"/>
      <c r="O24" s="19" t="s">
        <v>226</v>
      </c>
      <c r="P24" s="19" t="s">
        <v>227</v>
      </c>
      <c r="Q24" s="99"/>
      <c r="R24" s="144"/>
    </row>
    <row r="25" spans="1:18" x14ac:dyDescent="0.25">
      <c r="A25" s="122" t="s">
        <v>123</v>
      </c>
      <c r="B25" s="123"/>
      <c r="C25" s="124" t="s">
        <v>125</v>
      </c>
      <c r="D25" s="124"/>
      <c r="E25" s="124"/>
      <c r="F25" s="124"/>
      <c r="G25" s="33" t="s">
        <v>48</v>
      </c>
      <c r="H25" s="53" t="s">
        <v>239</v>
      </c>
      <c r="I25" s="32" t="s">
        <v>69</v>
      </c>
      <c r="J25" s="33" t="s">
        <v>54</v>
      </c>
      <c r="K25" s="124" t="s">
        <v>80</v>
      </c>
      <c r="L25" s="124"/>
      <c r="M25" s="124"/>
      <c r="N25" s="124"/>
      <c r="O25" s="22" t="s">
        <v>162</v>
      </c>
      <c r="P25" s="23" t="s">
        <v>127</v>
      </c>
      <c r="Q25" s="23" t="s">
        <v>126</v>
      </c>
      <c r="R25" s="25" t="s">
        <v>93</v>
      </c>
    </row>
  </sheetData>
  <mergeCells count="21">
    <mergeCell ref="Q22:Q24"/>
    <mergeCell ref="Q17:R17"/>
    <mergeCell ref="K18:N18"/>
    <mergeCell ref="J19:J24"/>
    <mergeCell ref="K19:N24"/>
    <mergeCell ref="R19:R24"/>
    <mergeCell ref="Q19:Q21"/>
    <mergeCell ref="A1:P1"/>
    <mergeCell ref="B2:P2"/>
    <mergeCell ref="B3:P3"/>
    <mergeCell ref="A13:C13"/>
    <mergeCell ref="A17:B18"/>
    <mergeCell ref="C17:F18"/>
    <mergeCell ref="G17:I17"/>
    <mergeCell ref="J17:N17"/>
    <mergeCell ref="O17:P17"/>
    <mergeCell ref="A25:B25"/>
    <mergeCell ref="C25:F25"/>
    <mergeCell ref="K25:N25"/>
    <mergeCell ref="C19:F24"/>
    <mergeCell ref="A19:B24"/>
  </mergeCells>
  <hyperlinks>
    <hyperlink ref="A1" location="'Objetos de Dominio'!A1" display="Volver al inicio" xr:uid="{5C7EEABE-C166-4A7A-B335-4D5DB0D857BF}"/>
    <hyperlink ref="R4" location="Estimulo!A25" display="Estimulo!A25" xr:uid="{FF9BED0D-5076-480C-B497-7A50AF5B4F3D}"/>
    <hyperlink ref="A25:B25" location="Estimulo!R4" display="eliminarEstimulo" xr:uid="{C46835F4-691D-4B4B-B66D-948914388D9F}"/>
    <hyperlink ref="A19:B19" location="'Objeto Dominio N'!Q4" display="Reponsabilidad 1" xr:uid="{68E21B7A-D701-418B-A186-3BCF686EE369}"/>
    <hyperlink ref="Q4" location="Estimulo!A19" display="Estimulo!A19" xr:uid="{B83769BA-2288-4092-BF8C-C7B50462A6E9}"/>
    <hyperlink ref="A1:P1" location="'Listado Objetos de Dominio'!A1" display="&lt;-Volver al inicio" xr:uid="{FCF2F2F0-27BF-46AB-9E26-25819BC60148}"/>
    <hyperlink ref="A19:B23" location="Estimulo!Q4" display="crearEstimulo" xr:uid="{299D5D77-AAC3-4B12-B7E8-A66BC72BF1BC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E883-41D6-4BA5-9557-BE7D27274C8C}">
  <dimension ref="A1:R19"/>
  <sheetViews>
    <sheetView zoomScale="70" zoomScaleNormal="70" workbookViewId="0">
      <selection activeCell="H16" sqref="H16"/>
    </sheetView>
  </sheetViews>
  <sheetFormatPr baseColWidth="10" defaultColWidth="11.42578125" defaultRowHeight="15" x14ac:dyDescent="0.25"/>
  <cols>
    <col min="1" max="1" width="23.85546875" style="1" bestFit="1" customWidth="1"/>
    <col min="2" max="2" width="15.28515625" style="1" bestFit="1" customWidth="1"/>
    <col min="3" max="3" width="18.7109375" style="1" bestFit="1" customWidth="1"/>
    <col min="4" max="4" width="18.85546875" style="1" bestFit="1" customWidth="1"/>
    <col min="5" max="5" width="11.5703125" style="1" bestFit="1" customWidth="1"/>
    <col min="6" max="6" width="15.28515625" style="1" bestFit="1" customWidth="1"/>
    <col min="7" max="7" width="28.5703125" style="1" bestFit="1" customWidth="1"/>
    <col min="8" max="8" width="43.85546875" style="1" customWidth="1"/>
    <col min="9" max="9" width="79.28515625" style="1" bestFit="1" customWidth="1"/>
    <col min="10" max="10" width="18.140625" style="1" bestFit="1" customWidth="1"/>
    <col min="11" max="11" width="19.28515625" style="1" bestFit="1" customWidth="1"/>
    <col min="12" max="12" width="14.42578125" style="1" bestFit="1" customWidth="1"/>
    <col min="13" max="13" width="15.7109375" style="1" bestFit="1" customWidth="1"/>
    <col min="14" max="14" width="12.85546875" style="1" bestFit="1" customWidth="1"/>
    <col min="15" max="15" width="25" style="1" bestFit="1" customWidth="1"/>
    <col min="16" max="16" width="94.42578125" style="1" bestFit="1" customWidth="1"/>
    <col min="17" max="17" width="132.5703125" style="1" bestFit="1" customWidth="1"/>
    <col min="18" max="18" width="46.42578125" style="1" bestFit="1" customWidth="1"/>
    <col min="19" max="19" width="52.28515625" style="1" bestFit="1" customWidth="1"/>
    <col min="20" max="16384" width="11.42578125" style="1"/>
  </cols>
  <sheetData>
    <row r="1" spans="1:18" x14ac:dyDescent="0.25">
      <c r="A1" s="78" t="s">
        <v>10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8" x14ac:dyDescent="0.25">
      <c r="A2" s="3" t="s">
        <v>11</v>
      </c>
      <c r="B2" s="79" t="str">
        <f>'Listado Objetos de Dominio'!$A$9</f>
        <v>Opciones de Respuesta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8" ht="15.75" thickBot="1" x14ac:dyDescent="0.3">
      <c r="A3" s="3" t="s">
        <v>12</v>
      </c>
      <c r="B3" s="125" t="str">
        <f>'Listado Objetos de Dominio'!$B$9</f>
        <v>Cada opcion de respuesta única de un estimulo.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</row>
    <row r="4" spans="1:18" x14ac:dyDescent="0.25">
      <c r="A4" s="7" t="s">
        <v>13</v>
      </c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 t="s">
        <v>27</v>
      </c>
      <c r="P4" s="9" t="s">
        <v>2</v>
      </c>
      <c r="Q4" s="30" t="str">
        <f>A16</f>
        <v>crearOpcion</v>
      </c>
      <c r="R4" s="29" t="str">
        <f>A19</f>
        <v>eliminarOpcion</v>
      </c>
    </row>
    <row r="5" spans="1:18" x14ac:dyDescent="0.25">
      <c r="A5" s="10" t="s">
        <v>48</v>
      </c>
      <c r="B5" s="4" t="s">
        <v>239</v>
      </c>
      <c r="C5" s="4">
        <v>36</v>
      </c>
      <c r="D5" s="4">
        <v>36</v>
      </c>
      <c r="E5" s="4"/>
      <c r="F5" s="4"/>
      <c r="G5" s="4"/>
      <c r="H5" s="4" t="s">
        <v>240</v>
      </c>
      <c r="I5" s="4"/>
      <c r="J5" s="12"/>
      <c r="K5" s="11" t="s">
        <v>52</v>
      </c>
      <c r="L5" s="4" t="s">
        <v>53</v>
      </c>
      <c r="M5" s="4" t="s">
        <v>52</v>
      </c>
      <c r="N5" s="4" t="s">
        <v>53</v>
      </c>
      <c r="O5" s="4" t="s">
        <v>52</v>
      </c>
      <c r="P5" s="6" t="s">
        <v>69</v>
      </c>
      <c r="Q5" s="28" t="s">
        <v>198</v>
      </c>
      <c r="R5" s="22" t="s">
        <v>199</v>
      </c>
    </row>
    <row r="6" spans="1:18" x14ac:dyDescent="0.25">
      <c r="A6" s="10" t="s">
        <v>72</v>
      </c>
      <c r="B6" s="4" t="s">
        <v>239</v>
      </c>
      <c r="C6" s="4">
        <v>36</v>
      </c>
      <c r="D6" s="4">
        <v>36</v>
      </c>
      <c r="E6" s="4"/>
      <c r="F6" s="4"/>
      <c r="G6" s="4"/>
      <c r="H6" s="4" t="s">
        <v>240</v>
      </c>
      <c r="I6" s="4"/>
      <c r="J6" s="12"/>
      <c r="K6" s="11" t="s">
        <v>53</v>
      </c>
      <c r="L6" s="4" t="s">
        <v>53</v>
      </c>
      <c r="M6" s="4" t="s">
        <v>52</v>
      </c>
      <c r="N6" s="4" t="s">
        <v>53</v>
      </c>
      <c r="O6" s="4" t="s">
        <v>53</v>
      </c>
      <c r="P6" s="6" t="s">
        <v>71</v>
      </c>
      <c r="Q6" s="28" t="s">
        <v>200</v>
      </c>
      <c r="R6" s="22" t="s">
        <v>81</v>
      </c>
    </row>
    <row r="7" spans="1:18" x14ac:dyDescent="0.25">
      <c r="A7" s="10" t="s">
        <v>194</v>
      </c>
      <c r="B7" s="4" t="s">
        <v>49</v>
      </c>
      <c r="C7" s="4"/>
      <c r="D7" s="4"/>
      <c r="E7" s="4"/>
      <c r="F7" s="4">
        <v>1</v>
      </c>
      <c r="G7" s="4"/>
      <c r="H7" s="4"/>
      <c r="I7" s="4"/>
      <c r="J7" s="12"/>
      <c r="K7" s="11" t="s">
        <v>53</v>
      </c>
      <c r="L7" s="4" t="s">
        <v>53</v>
      </c>
      <c r="M7" s="4" t="s">
        <v>52</v>
      </c>
      <c r="N7" s="4" t="s">
        <v>53</v>
      </c>
      <c r="O7" s="4" t="s">
        <v>53</v>
      </c>
      <c r="P7" s="6" t="s">
        <v>196</v>
      </c>
      <c r="Q7" s="28" t="s">
        <v>200</v>
      </c>
      <c r="R7" s="22" t="s">
        <v>81</v>
      </c>
    </row>
    <row r="8" spans="1:18" x14ac:dyDescent="0.25">
      <c r="A8" s="10" t="s">
        <v>195</v>
      </c>
      <c r="B8" s="4" t="s">
        <v>50</v>
      </c>
      <c r="C8" s="4">
        <v>0</v>
      </c>
      <c r="D8" s="4">
        <v>500</v>
      </c>
      <c r="E8" s="4"/>
      <c r="F8" s="4"/>
      <c r="G8" s="4"/>
      <c r="H8" s="4"/>
      <c r="I8" s="4"/>
      <c r="J8" s="12"/>
      <c r="K8" s="11" t="s">
        <v>53</v>
      </c>
      <c r="L8" s="4" t="s">
        <v>53</v>
      </c>
      <c r="M8" s="4" t="s">
        <v>52</v>
      </c>
      <c r="N8" s="4" t="s">
        <v>53</v>
      </c>
      <c r="O8" s="4" t="s">
        <v>53</v>
      </c>
      <c r="P8" s="6" t="s">
        <v>197</v>
      </c>
      <c r="Q8" s="28" t="s">
        <v>200</v>
      </c>
      <c r="R8" s="22" t="s">
        <v>81</v>
      </c>
    </row>
    <row r="9" spans="1:18" ht="15.75" thickBot="1" x14ac:dyDescent="0.3"/>
    <row r="10" spans="1:18" x14ac:dyDescent="0.25">
      <c r="A10" s="81" t="s">
        <v>28</v>
      </c>
      <c r="B10" s="82"/>
      <c r="C10" s="83"/>
    </row>
    <row r="11" spans="1:18" x14ac:dyDescent="0.25">
      <c r="A11" s="16" t="s">
        <v>29</v>
      </c>
      <c r="B11" s="15" t="s">
        <v>2</v>
      </c>
      <c r="C11" s="17" t="s">
        <v>30</v>
      </c>
    </row>
    <row r="12" spans="1:18" ht="62.25" customHeight="1" thickBot="1" x14ac:dyDescent="0.3">
      <c r="A12" s="46" t="s">
        <v>213</v>
      </c>
      <c r="B12" s="14" t="s">
        <v>211</v>
      </c>
      <c r="C12" s="45" t="s">
        <v>212</v>
      </c>
    </row>
    <row r="13" spans="1:18" ht="15.75" thickBot="1" x14ac:dyDescent="0.3"/>
    <row r="14" spans="1:18" x14ac:dyDescent="0.25">
      <c r="A14" s="84" t="s">
        <v>31</v>
      </c>
      <c r="B14" s="85"/>
      <c r="C14" s="85" t="s">
        <v>2</v>
      </c>
      <c r="D14" s="85"/>
      <c r="E14" s="85"/>
      <c r="F14" s="85"/>
      <c r="G14" s="85" t="s">
        <v>32</v>
      </c>
      <c r="H14" s="85"/>
      <c r="I14" s="85"/>
      <c r="J14" s="85" t="s">
        <v>33</v>
      </c>
      <c r="K14" s="85"/>
      <c r="L14" s="85"/>
      <c r="M14" s="85"/>
      <c r="N14" s="85"/>
      <c r="O14" s="85" t="s">
        <v>34</v>
      </c>
      <c r="P14" s="85"/>
      <c r="Q14" s="85" t="s">
        <v>35</v>
      </c>
      <c r="R14" s="92"/>
    </row>
    <row r="15" spans="1:18" x14ac:dyDescent="0.25">
      <c r="A15" s="86"/>
      <c r="B15" s="87"/>
      <c r="C15" s="87"/>
      <c r="D15" s="87"/>
      <c r="E15" s="87"/>
      <c r="F15" s="87"/>
      <c r="G15" s="18" t="s">
        <v>36</v>
      </c>
      <c r="H15" s="18" t="s">
        <v>37</v>
      </c>
      <c r="I15" s="18" t="s">
        <v>2</v>
      </c>
      <c r="J15" s="18" t="s">
        <v>14</v>
      </c>
      <c r="K15" s="87" t="s">
        <v>2</v>
      </c>
      <c r="L15" s="87"/>
      <c r="M15" s="87"/>
      <c r="N15" s="87"/>
      <c r="O15" s="18" t="s">
        <v>38</v>
      </c>
      <c r="P15" s="18" t="s">
        <v>2</v>
      </c>
      <c r="Q15" s="18" t="s">
        <v>39</v>
      </c>
      <c r="R15" s="24" t="s">
        <v>40</v>
      </c>
    </row>
    <row r="16" spans="1:18" x14ac:dyDescent="0.25">
      <c r="A16" s="104" t="s">
        <v>207</v>
      </c>
      <c r="B16" s="105"/>
      <c r="C16" s="126" t="s">
        <v>209</v>
      </c>
      <c r="D16" s="127"/>
      <c r="E16" s="127"/>
      <c r="F16" s="128"/>
      <c r="G16" s="19" t="s">
        <v>72</v>
      </c>
      <c r="H16" s="28" t="s">
        <v>239</v>
      </c>
      <c r="I16" s="47" t="s">
        <v>71</v>
      </c>
      <c r="J16" s="133" t="s">
        <v>54</v>
      </c>
      <c r="K16" s="126" t="s">
        <v>124</v>
      </c>
      <c r="L16" s="127"/>
      <c r="M16" s="127"/>
      <c r="N16" s="128"/>
      <c r="O16" s="98" t="s">
        <v>205</v>
      </c>
      <c r="P16" s="98" t="s">
        <v>204</v>
      </c>
      <c r="Q16" s="98" t="s">
        <v>201</v>
      </c>
      <c r="R16" s="138" t="s">
        <v>95</v>
      </c>
    </row>
    <row r="17" spans="1:18" x14ac:dyDescent="0.25">
      <c r="A17" s="106"/>
      <c r="B17" s="107"/>
      <c r="C17" s="129"/>
      <c r="D17" s="130"/>
      <c r="E17" s="130"/>
      <c r="F17" s="131"/>
      <c r="G17" s="19" t="s">
        <v>194</v>
      </c>
      <c r="H17" s="20" t="s">
        <v>49</v>
      </c>
      <c r="I17" s="47" t="s">
        <v>196</v>
      </c>
      <c r="J17" s="137"/>
      <c r="K17" s="129"/>
      <c r="L17" s="130"/>
      <c r="M17" s="130"/>
      <c r="N17" s="131"/>
      <c r="O17" s="132"/>
      <c r="P17" s="132"/>
      <c r="Q17" s="132"/>
      <c r="R17" s="139"/>
    </row>
    <row r="18" spans="1:18" x14ac:dyDescent="0.25">
      <c r="A18" s="106"/>
      <c r="B18" s="107"/>
      <c r="C18" s="129"/>
      <c r="D18" s="130"/>
      <c r="E18" s="130"/>
      <c r="F18" s="131"/>
      <c r="G18" s="19" t="s">
        <v>195</v>
      </c>
      <c r="H18" s="20" t="s">
        <v>50</v>
      </c>
      <c r="I18" s="47" t="s">
        <v>197</v>
      </c>
      <c r="J18" s="137"/>
      <c r="K18" s="129"/>
      <c r="L18" s="130"/>
      <c r="M18" s="130"/>
      <c r="N18" s="131"/>
      <c r="O18" s="132"/>
      <c r="P18" s="132"/>
      <c r="Q18" s="132"/>
      <c r="R18" s="139"/>
    </row>
    <row r="19" spans="1:18" x14ac:dyDescent="0.25">
      <c r="A19" s="122" t="s">
        <v>208</v>
      </c>
      <c r="B19" s="123"/>
      <c r="C19" s="124" t="s">
        <v>210</v>
      </c>
      <c r="D19" s="124"/>
      <c r="E19" s="124"/>
      <c r="F19" s="124"/>
      <c r="G19" s="33" t="s">
        <v>48</v>
      </c>
      <c r="H19" s="53" t="s">
        <v>239</v>
      </c>
      <c r="I19" s="32" t="s">
        <v>69</v>
      </c>
      <c r="J19" s="33" t="s">
        <v>54</v>
      </c>
      <c r="K19" s="124" t="s">
        <v>80</v>
      </c>
      <c r="L19" s="124"/>
      <c r="M19" s="124"/>
      <c r="N19" s="124"/>
      <c r="O19" s="22" t="s">
        <v>206</v>
      </c>
      <c r="P19" s="23" t="s">
        <v>203</v>
      </c>
      <c r="Q19" s="23" t="s">
        <v>202</v>
      </c>
      <c r="R19" s="25" t="s">
        <v>93</v>
      </c>
    </row>
  </sheetData>
  <mergeCells count="22">
    <mergeCell ref="A19:B19"/>
    <mergeCell ref="C19:F19"/>
    <mergeCell ref="K19:N19"/>
    <mergeCell ref="Q14:R14"/>
    <mergeCell ref="K15:N15"/>
    <mergeCell ref="A16:B18"/>
    <mergeCell ref="C16:F18"/>
    <mergeCell ref="J16:J18"/>
    <mergeCell ref="K16:N18"/>
    <mergeCell ref="O16:O18"/>
    <mergeCell ref="P16:P18"/>
    <mergeCell ref="Q16:Q18"/>
    <mergeCell ref="R16:R18"/>
    <mergeCell ref="A1:P1"/>
    <mergeCell ref="B2:P2"/>
    <mergeCell ref="B3:P3"/>
    <mergeCell ref="A10:C10"/>
    <mergeCell ref="A14:B15"/>
    <mergeCell ref="C14:F15"/>
    <mergeCell ref="G14:I14"/>
    <mergeCell ref="J14:N14"/>
    <mergeCell ref="O14:P14"/>
  </mergeCells>
  <hyperlinks>
    <hyperlink ref="A1" location="'Objetos de Dominio'!A1" display="Volver al inicio" xr:uid="{E3ECF641-1F8C-4BA7-A67E-39F08CEDBDC7}"/>
    <hyperlink ref="R4" location="'Opciones de Respuesta'!A19" display="'Opciones de Respuesta'!A19" xr:uid="{E586584F-7BEA-4E70-A6CE-4FE4813E5290}"/>
    <hyperlink ref="A19:B19" location="'Opciones de Respuesta'!R4" display="eliminarOpcion" xr:uid="{A372F582-9279-4A7E-92BD-65DB7BC6BCA5}"/>
    <hyperlink ref="A16:B16" location="'Objeto Dominio N'!Q4" display="Reponsabilidad 1" xr:uid="{5C8DCCF1-EB53-4AD5-952C-C6270DB1617D}"/>
    <hyperlink ref="Q4" location="'Opciones de Respuesta'!A16" display="'Opciones de Respuesta'!A16" xr:uid="{91B96BA8-AB2D-4113-8816-CC2AC73F5315}"/>
    <hyperlink ref="A1:P1" location="'Listado Objetos de Dominio'!A1" display="&lt;-Volver al inicio" xr:uid="{8BE478EA-F497-44CF-8E44-A26EEC82A896}"/>
    <hyperlink ref="A16:B18" location="'Opciones de Respuesta'!Q4" display="crearOpcion" xr:uid="{C6B565AD-CE0E-478D-84E0-D9FDD8EE743E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9E364CF2FAC646913FA2F6AF72DBE1" ma:contentTypeVersion="10" ma:contentTypeDescription="Crear nuevo documento." ma:contentTypeScope="" ma:versionID="b24b9c618f26a7f5898de1c13fded6f0">
  <xsd:schema xmlns:xsd="http://www.w3.org/2001/XMLSchema" xmlns:xs="http://www.w3.org/2001/XMLSchema" xmlns:p="http://schemas.microsoft.com/office/2006/metadata/properties" xmlns:ns2="d3168a39-8cd2-49bc-b1c5-42f933dcfd23" targetNamespace="http://schemas.microsoft.com/office/2006/metadata/properties" ma:root="true" ma:fieldsID="1b230ff9972fda723d9ad96722259e8e" ns2:_="">
    <xsd:import namespace="d3168a39-8cd2-49bc-b1c5-42f933dcfd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168a39-8cd2-49bc-b1c5-42f933dcfd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168a39-8cd2-49bc-b1c5-42f933dcfd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3C049B-ED9D-485F-97D0-84BB12CB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168a39-8cd2-49bc-b1c5-42f933dcfd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24C681-8A04-4D66-BB1C-57F7466573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038022-656B-4A1B-A485-51A1972238BD}">
  <ds:schemaRefs>
    <ds:schemaRef ds:uri="http://schemas.microsoft.com/office/2006/metadata/properties"/>
    <ds:schemaRef ds:uri="http://schemas.microsoft.com/office/infopath/2007/PartnerControls"/>
    <ds:schemaRef ds:uri="d3168a39-8cd2-49bc-b1c5-42f933dcfd23"/>
  </ds:schemaRefs>
</ds:datastoreItem>
</file>

<file path=docMetadata/LabelInfo.xml><?xml version="1.0" encoding="utf-8"?>
<clbl:labelList xmlns:clbl="http://schemas.microsoft.com/office/2020/mipLabelMetadata">
  <clbl:label id="{86cab09b-e61a-4c01-96e7-67fc9e3d8cd5}" enabled="1" method="Standard" siteId="{bf1ce8b5-5d39-4bc5-ad6e-07b3e4d7d67a}" contentBits="8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Modelo dominio anémico contexto</vt:lpstr>
      <vt:lpstr>Listado Objetos de Dominio</vt:lpstr>
      <vt:lpstr>Valores</vt:lpstr>
      <vt:lpstr>Respuesta Estimulo</vt:lpstr>
      <vt:lpstr>Tutorial Tarea</vt:lpstr>
      <vt:lpstr>Tutorial Nivel</vt:lpstr>
      <vt:lpstr>Tarea</vt:lpstr>
      <vt:lpstr>Nivel</vt:lpstr>
      <vt:lpstr>Estimulo</vt:lpstr>
      <vt:lpstr>Opciones de Respuesta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Jacobo Jaramillo Jaramillo</cp:lastModifiedBy>
  <cp:revision/>
  <dcterms:created xsi:type="dcterms:W3CDTF">2023-03-15T04:00:09Z</dcterms:created>
  <dcterms:modified xsi:type="dcterms:W3CDTF">2025-04-08T22:04:35Z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2023-03-15T04:21:21Z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1284b033-3469-4be1-8291-3532cb7ee350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0x010100339E364CF2FAC646913FA2F6AF72DBE1</vt:lpwstr>
  </property>
  <property fmtid="{D5CDD505-2E9C-101B-9397-08002B2CF9AE}" pid="12" name="MediaServiceImageTags">
    <vt:lpwstr/>
  </property>
</Properties>
</file>