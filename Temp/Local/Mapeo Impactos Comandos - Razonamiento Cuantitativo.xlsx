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DrOkt\OneDrive\Documents\"/>
    </mc:Choice>
  </mc:AlternateContent>
  <xr:revisionPtr revIDLastSave="0" documentId="13_ncr:1_{A6AA64B1-A05B-4543-A966-571C12F9C186}" xr6:coauthVersionLast="47" xr6:coauthVersionMax="47" xr10:uidLastSave="{00000000-0000-0000-0000-000000000000}"/>
  <bookViews>
    <workbookView xWindow="-120" yWindow="-120" windowWidth="29040" windowHeight="15840" xr2:uid="{B19C3FF5-8860-4EB9-A058-BBE22729C121}"/>
  </bookViews>
  <sheets>
    <sheet name="MapeoImpactosComandos" sheetId="1" r:id="rId1"/>
    <sheet name="Hoja1" sheetId="3" r:id="rId2"/>
    <sheet name="Valores"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K8" i="1"/>
  <c r="K7" i="1"/>
  <c r="K6" i="1"/>
  <c r="K5" i="1"/>
  <c r="K4" i="1"/>
  <c r="J10" i="1"/>
  <c r="J8" i="1"/>
  <c r="J7" i="1"/>
  <c r="J6" i="1"/>
  <c r="J5" i="1"/>
  <c r="J4" i="1"/>
</calcChain>
</file>

<file path=xl/sharedStrings.xml><?xml version="1.0" encoding="utf-8"?>
<sst xmlns="http://schemas.openxmlformats.org/spreadsheetml/2006/main" count="144" uniqueCount="81">
  <si>
    <t>Mapa impacto</t>
  </si>
  <si>
    <t>Objeto de dominio</t>
  </si>
  <si>
    <t>Event Storming</t>
  </si>
  <si>
    <t>Mapeo consistente</t>
  </si>
  <si>
    <t>Observaciones</t>
  </si>
  <si>
    <t>Historia de usuario</t>
  </si>
  <si>
    <t>Actor</t>
  </si>
  <si>
    <t>Impacto</t>
  </si>
  <si>
    <t>Entregable</t>
  </si>
  <si>
    <t>Comando</t>
  </si>
  <si>
    <t>Valor de negocio</t>
  </si>
  <si>
    <t>Épica</t>
  </si>
  <si>
    <t>Funcionalidad/Historia Usuario</t>
  </si>
  <si>
    <t>Identificador</t>
  </si>
  <si>
    <t>Nombre</t>
  </si>
  <si>
    <t>Card</t>
  </si>
  <si>
    <t>Talla(Tamaño)</t>
  </si>
  <si>
    <t>Talla(Complejidad)</t>
  </si>
  <si>
    <t>Pivote</t>
  </si>
  <si>
    <t>Orden</t>
  </si>
  <si>
    <t>Como</t>
  </si>
  <si>
    <t>Necesito</t>
  </si>
  <si>
    <t>Para</t>
  </si>
  <si>
    <t>Entrenador</t>
  </si>
  <si>
    <t>SI</t>
  </si>
  <si>
    <t>S</t>
  </si>
  <si>
    <t>Sprint -1</t>
  </si>
  <si>
    <t>Sprint 0</t>
  </si>
  <si>
    <t>Sprint  1</t>
  </si>
  <si>
    <t>Sprint  2</t>
  </si>
  <si>
    <t>Sprint  3</t>
  </si>
  <si>
    <t>Sprint  4</t>
  </si>
  <si>
    <t>Sprint 1</t>
  </si>
  <si>
    <t>Escritura historia de usuario</t>
  </si>
  <si>
    <t>X</t>
  </si>
  <si>
    <t>Refinamiento historia de usuario</t>
  </si>
  <si>
    <t>Implementación y validación</t>
  </si>
  <si>
    <t>Sprint 2</t>
  </si>
  <si>
    <t>Sprint 3</t>
  </si>
  <si>
    <t>Sprint 4</t>
  </si>
  <si>
    <t>Respuesta</t>
  </si>
  <si>
    <t>Tallas</t>
  </si>
  <si>
    <t>XS</t>
  </si>
  <si>
    <t>NO</t>
  </si>
  <si>
    <t>M</t>
  </si>
  <si>
    <t>L</t>
  </si>
  <si>
    <t>XL</t>
  </si>
  <si>
    <t>Estudiantes</t>
  </si>
  <si>
    <t>Entrenadores</t>
  </si>
  <si>
    <t>Gamificar por medio de actividades de rompecabezas, cuestionarios, y el reconocimiento de patrones para estimular las habilidades lógicas y cuantitativas, de tal manera de que el estudiante pueda estar más preparado para su vida universitaria.</t>
  </si>
  <si>
    <t>"El Suelo es Lava" (Tarea #1)</t>
  </si>
  <si>
    <t>"Clonación" (Tarea #2)</t>
  </si>
  <si>
    <t>"Los Secretos del Chef" (Tarea #3)</t>
  </si>
  <si>
    <t>"Todo en Orden" (Tarea #4)</t>
  </si>
  <si>
    <t>Evaluar el rendimiento del estudiante respecto al plan de entrenamiento en la variable de Razonamiento Cuantitativo, de tal manera de que el entrenador pueda conocer el progreso con el objetivo de identificar si se requiere un plan de mejora adicional o si el estudiante se encuentra preparado para afrontar su razonamiento logico y cuantitativo en el mundo universitario.</t>
  </si>
  <si>
    <t>Generacion de estadisticas del resultado del estudiante</t>
  </si>
  <si>
    <t>Estudiante</t>
  </si>
  <si>
    <t>HU-RAZONCUAN-001</t>
  </si>
  <si>
    <t>HU-RAZONCUAN-002</t>
  </si>
  <si>
    <t>HU-RAZONCUAN-003</t>
  </si>
  <si>
    <t>HU-RAZONCUAN-004</t>
  </si>
  <si>
    <t>HU-RAZONCUAN-005</t>
  </si>
  <si>
    <t>HU-RAZONCUAN-006</t>
  </si>
  <si>
    <t>acceso a los 3 niveles de "El Suelo es Lava", instrucciones claras, estímulos visuales y auditivos</t>
  </si>
  <si>
    <t>para comenzar a jugar y entrenar el razonamiento lógico-cuantitativo.</t>
  </si>
  <si>
    <t>acceso a los 3 niveles de "Los Secretos del Chef", instrucciones claras, estímulos visuales y auditivos</t>
  </si>
  <si>
    <t>para comenzar a jugar y entrenar mis habilidades en rompecabezas.</t>
  </si>
  <si>
    <t>Acceso a los 3 niveles de "Clonacion", instrucciones claras, estímulos visuales y auditivos</t>
  </si>
  <si>
    <t>para comenzar a jugar y entrenar mis habilidades en la resolución de problemas.</t>
  </si>
  <si>
    <t>Acceso a los 3 niveles de "Todo en Orden", instrucciones claras, estímulos visuales y auditivos</t>
  </si>
  <si>
    <t>Acceso al menu principal, instrucciones claras</t>
  </si>
  <si>
    <t>para poder ingresar a cualquiera de las Tareas existentes y comenzar el entrenamiento.</t>
  </si>
  <si>
    <t>guardar los datos de sesion del estudiante, como estímulos pasados y tareas completadas</t>
  </si>
  <si>
    <t>con el fin de conocer los pasos a seguir en cuanto a su entrenamiento.</t>
  </si>
  <si>
    <t>Iniciar "El Suelo es Lava"</t>
  </si>
  <si>
    <t>Iniciar "Los Secretos del Chef"</t>
  </si>
  <si>
    <t>Iniciar "Clonacion"</t>
  </si>
  <si>
    <t>Iniciar "Todo en Orden"</t>
  </si>
  <si>
    <t>Seleccionar Tarea</t>
  </si>
  <si>
    <t>Guardar Resultados</t>
  </si>
  <si>
    <t>Guardar los Resultados de la Sesion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</si>
</sst>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name val="Aptos Narrow"/>
      <family val="2"/>
      <scheme val="minor"/>
    </font>
    <font>
      <sz val="11"/>
      <color theme="1"/>
      <name val="Calibri"/>
      <family val="2"/>
    </font>
    <font>
      <sz val="8"/>
      <name val="Aptos Narrow"/>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0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1" xfId="0" applyBorder="1" applyAlignment="1">
      <alignment horizontal="center" vertical="center"/>
    </xf>
    <xf numFmtId="0" fontId="0" fillId="5" borderId="4" xfId="0" applyFill="1" applyBorder="1" applyAlignment="1">
      <alignment horizontal="center" vertical="center"/>
    </xf>
    <xf numFmtId="0" fontId="0" fillId="0" borderId="6"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7" xfId="0" applyBorder="1"/>
    <xf numFmtId="0" fontId="1" fillId="6" borderId="6" xfId="0" applyFont="1" applyFill="1" applyBorder="1" applyAlignment="1">
      <alignment horizontal="center"/>
    </xf>
    <xf numFmtId="0" fontId="0" fillId="6" borderId="6" xfId="0" applyFill="1" applyBorder="1" applyAlignment="1">
      <alignment horizontal="center" vertical="center" wrapText="1"/>
    </xf>
    <xf numFmtId="0" fontId="0" fillId="6" borderId="6" xfId="0" applyFill="1" applyBorder="1" applyAlignment="1">
      <alignment horizontal="center" vertical="center"/>
    </xf>
    <xf numFmtId="0" fontId="0" fillId="6" borderId="6" xfId="0" applyFill="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3" xfId="0" applyFont="1" applyFill="1" applyBorder="1" applyAlignment="1">
      <alignment horizontal="center" vertical="center"/>
    </xf>
    <xf numFmtId="0" fontId="1" fillId="5" borderId="2"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6" borderId="6" xfId="0" applyFont="1" applyFill="1"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2" fillId="7" borderId="8" xfId="0" applyFont="1" applyFill="1" applyBorder="1" applyAlignment="1">
      <alignment horizontal="left" vertical="center" wrapText="1"/>
    </xf>
    <xf numFmtId="0" fontId="2" fillId="7" borderId="11" xfId="0" applyFont="1" applyFill="1" applyBorder="1" applyAlignment="1">
      <alignment horizontal="left" vertical="center" wrapText="1"/>
    </xf>
    <xf numFmtId="0" fontId="2" fillId="7" borderId="9" xfId="0" applyFont="1" applyFill="1" applyBorder="1" applyAlignment="1">
      <alignment horizontal="left" vertical="center" wrapText="1"/>
    </xf>
    <xf numFmtId="0" fontId="2" fillId="7" borderId="12" xfId="0" applyFont="1" applyFill="1" applyBorder="1" applyAlignment="1">
      <alignment horizontal="left" vertical="center" wrapText="1"/>
    </xf>
    <xf numFmtId="0" fontId="2" fillId="7" borderId="13" xfId="0" applyFont="1" applyFill="1" applyBorder="1" applyAlignment="1">
      <alignment horizontal="left" vertical="center" wrapText="1"/>
    </xf>
    <xf numFmtId="0" fontId="2" fillId="7" borderId="14" xfId="0" applyFont="1" applyFill="1" applyBorder="1" applyAlignment="1">
      <alignment horizontal="left" vertical="center" wrapText="1"/>
    </xf>
    <xf numFmtId="0" fontId="2" fillId="7" borderId="15" xfId="0" applyFont="1" applyFill="1" applyBorder="1" applyAlignment="1">
      <alignment horizontal="left" vertical="center" wrapText="1"/>
    </xf>
    <xf numFmtId="0" fontId="0" fillId="7" borderId="8" xfId="0" applyFill="1" applyBorder="1" applyAlignment="1">
      <alignment horizontal="left" vertical="center" wrapText="1"/>
    </xf>
    <xf numFmtId="0" fontId="0" fillId="7" borderId="11" xfId="0" applyFill="1" applyBorder="1" applyAlignment="1">
      <alignment horizontal="left" vertical="center" wrapText="1"/>
    </xf>
    <xf numFmtId="0" fontId="0" fillId="7" borderId="9" xfId="0" applyFill="1" applyBorder="1" applyAlignment="1">
      <alignment horizontal="left" vertical="center" wrapText="1"/>
    </xf>
    <xf numFmtId="0" fontId="0" fillId="7" borderId="12" xfId="0" applyFill="1" applyBorder="1" applyAlignment="1">
      <alignment horizontal="left" vertical="center" wrapText="1"/>
    </xf>
    <xf numFmtId="0" fontId="0" fillId="7" borderId="12" xfId="0" applyFill="1" applyBorder="1" applyAlignment="1">
      <alignment horizontal="left" vertical="center" wrapText="1"/>
    </xf>
    <xf numFmtId="0" fontId="0" fillId="7" borderId="13" xfId="0" applyFill="1" applyBorder="1" applyAlignment="1">
      <alignment horizontal="left" vertical="center" wrapText="1"/>
    </xf>
    <xf numFmtId="0" fontId="0" fillId="7" borderId="10" xfId="0" applyFill="1" applyBorder="1" applyAlignment="1">
      <alignment horizontal="left" vertical="center" wrapText="1"/>
    </xf>
    <xf numFmtId="0" fontId="0" fillId="7" borderId="16" xfId="0" applyFill="1" applyBorder="1" applyAlignment="1">
      <alignment horizontal="left"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 fillId="2" borderId="20" xfId="0" applyFont="1" applyFill="1" applyBorder="1" applyAlignment="1">
      <alignment horizontal="center" vertical="center"/>
    </xf>
    <xf numFmtId="0" fontId="1" fillId="2" borderId="11" xfId="0" applyFont="1" applyFill="1" applyBorder="1" applyAlignment="1">
      <alignment horizontal="center" vertical="center"/>
    </xf>
    <xf numFmtId="0" fontId="0" fillId="6" borderId="23" xfId="0" applyFill="1" applyBorder="1" applyAlignment="1">
      <alignment horizontal="center" vertical="center" wrapText="1"/>
    </xf>
    <xf numFmtId="0" fontId="0" fillId="6" borderId="7" xfId="0" applyFill="1" applyBorder="1" applyAlignment="1">
      <alignment horizontal="center" vertical="center" wrapText="1"/>
    </xf>
    <xf numFmtId="0" fontId="0" fillId="6" borderId="23" xfId="0" applyFill="1" applyBorder="1" applyAlignment="1">
      <alignment vertical="center" wrapText="1"/>
    </xf>
    <xf numFmtId="0" fontId="0" fillId="6" borderId="24" xfId="0" applyFill="1" applyBorder="1" applyAlignment="1">
      <alignment vertical="center" wrapText="1"/>
    </xf>
    <xf numFmtId="0" fontId="0" fillId="6" borderId="26" xfId="0" applyFill="1" applyBorder="1"/>
    <xf numFmtId="0" fontId="0" fillId="6" borderId="25" xfId="0" applyFill="1" applyBorder="1"/>
    <xf numFmtId="0" fontId="3" fillId="6" borderId="1" xfId="0" applyFont="1" applyFill="1" applyBorder="1" applyAlignment="1">
      <alignment vertical="center" wrapText="1"/>
    </xf>
    <xf numFmtId="0" fontId="3" fillId="6" borderId="1" xfId="0" applyFont="1" applyFill="1" applyBorder="1" applyAlignment="1">
      <alignment vertical="center" wrapText="1"/>
    </xf>
    <xf numFmtId="0" fontId="3" fillId="6" borderId="22" xfId="0" applyFont="1" applyFill="1" applyBorder="1" applyAlignment="1">
      <alignment vertical="center" wrapText="1"/>
    </xf>
    <xf numFmtId="0" fontId="3" fillId="6" borderId="7" xfId="0" applyFont="1" applyFill="1" applyBorder="1" applyAlignment="1">
      <alignment vertical="center" wrapText="1"/>
    </xf>
    <xf numFmtId="0" fontId="0" fillId="6" borderId="24" xfId="0" applyFill="1" applyBorder="1" applyAlignment="1">
      <alignment horizontal="center" vertical="center" wrapText="1"/>
    </xf>
    <xf numFmtId="0" fontId="0" fillId="6" borderId="27" xfId="0" applyFill="1" applyBorder="1"/>
    <xf numFmtId="0" fontId="0" fillId="6" borderId="28" xfId="0" applyFill="1" applyBorder="1"/>
    <xf numFmtId="0" fontId="1" fillId="6" borderId="29" xfId="0" applyFont="1" applyFill="1" applyBorder="1" applyAlignment="1">
      <alignment horizontal="center" vertical="center"/>
    </xf>
    <xf numFmtId="0" fontId="1" fillId="6" borderId="30" xfId="0" applyFont="1" applyFill="1" applyBorder="1" applyAlignment="1">
      <alignment horizontal="center" vertical="center"/>
    </xf>
    <xf numFmtId="0" fontId="1" fillId="6" borderId="31" xfId="0" applyFont="1" applyFill="1" applyBorder="1" applyAlignment="1">
      <alignment horizontal="center" vertical="center"/>
    </xf>
    <xf numFmtId="0" fontId="1" fillId="6" borderId="32" xfId="0" applyFont="1" applyFill="1" applyBorder="1" applyAlignment="1">
      <alignment horizontal="center" vertical="center"/>
    </xf>
    <xf numFmtId="0" fontId="1" fillId="6" borderId="33" xfId="0" applyFont="1" applyFill="1" applyBorder="1" applyAlignment="1">
      <alignment horizontal="center" vertical="center"/>
    </xf>
    <xf numFmtId="0" fontId="1" fillId="6" borderId="32" xfId="0" applyFont="1" applyFill="1" applyBorder="1" applyAlignment="1">
      <alignment horizontal="center"/>
    </xf>
    <xf numFmtId="0" fontId="1" fillId="6" borderId="33" xfId="0" applyFont="1" applyFill="1" applyBorder="1" applyAlignment="1">
      <alignment horizontal="center"/>
    </xf>
    <xf numFmtId="0" fontId="0" fillId="6" borderId="32" xfId="0" applyFill="1" applyBorder="1" applyAlignment="1">
      <alignment vertical="center"/>
    </xf>
    <xf numFmtId="0" fontId="3" fillId="6" borderId="11" xfId="0" applyFont="1" applyFill="1" applyBorder="1" applyAlignment="1">
      <alignment vertical="center" wrapText="1"/>
    </xf>
    <xf numFmtId="0" fontId="0" fillId="6" borderId="34" xfId="0" applyFill="1" applyBorder="1" applyAlignment="1">
      <alignment vertical="center"/>
    </xf>
    <xf numFmtId="0" fontId="3" fillId="6" borderId="11" xfId="0" applyFont="1" applyFill="1" applyBorder="1" applyAlignment="1">
      <alignment vertical="center" wrapText="1"/>
    </xf>
    <xf numFmtId="0" fontId="0" fillId="6" borderId="35" xfId="0" applyFill="1" applyBorder="1" applyAlignment="1">
      <alignment vertical="center"/>
    </xf>
    <xf numFmtId="0" fontId="0" fillId="6" borderId="36" xfId="0" applyFill="1" applyBorder="1" applyAlignment="1">
      <alignment vertical="center"/>
    </xf>
    <xf numFmtId="0" fontId="0" fillId="6" borderId="37" xfId="0" applyFill="1" applyBorder="1" applyAlignment="1">
      <alignment vertical="center"/>
    </xf>
    <xf numFmtId="0" fontId="0" fillId="6" borderId="38" xfId="0" applyFill="1" applyBorder="1" applyAlignment="1">
      <alignment vertical="center" wrapText="1"/>
    </xf>
    <xf numFmtId="0" fontId="0" fillId="6" borderId="38" xfId="0" applyFill="1" applyBorder="1" applyAlignment="1">
      <alignment horizontal="center" vertical="center" wrapText="1"/>
    </xf>
    <xf numFmtId="0" fontId="0" fillId="6" borderId="39" xfId="0" applyFill="1" applyBorder="1"/>
    <xf numFmtId="0" fontId="3" fillId="6" borderId="5" xfId="0" applyFont="1" applyFill="1" applyBorder="1" applyAlignment="1">
      <alignment vertical="center" wrapText="1"/>
    </xf>
    <xf numFmtId="0" fontId="3" fillId="6" borderId="40" xfId="0" applyFont="1" applyFill="1" applyBorder="1" applyAlignment="1">
      <alignment vertical="center" wrapText="1"/>
    </xf>
    <xf numFmtId="0" fontId="1" fillId="5" borderId="2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0" fillId="5" borderId="11" xfId="0" applyFill="1" applyBorder="1" applyAlignment="1">
      <alignment horizontal="center" vertical="center"/>
    </xf>
    <xf numFmtId="0" fontId="0" fillId="5" borderId="11" xfId="0" applyFill="1" applyBorder="1"/>
    <xf numFmtId="0" fontId="1" fillId="4" borderId="2" xfId="0" applyFont="1" applyFill="1" applyBorder="1" applyAlignment="1">
      <alignment horizontal="center" vertical="center"/>
    </xf>
    <xf numFmtId="0" fontId="1" fillId="3" borderId="20" xfId="0" applyFont="1" applyFill="1" applyBorder="1" applyAlignment="1">
      <alignment horizontal="center" vertical="center"/>
    </xf>
    <xf numFmtId="0" fontId="1" fillId="4" borderId="4" xfId="0" applyFont="1" applyFill="1" applyBorder="1" applyAlignment="1">
      <alignment horizontal="center" vertical="center"/>
    </xf>
    <xf numFmtId="0" fontId="1" fillId="3" borderId="11" xfId="0" applyFont="1" applyFill="1" applyBorder="1" applyAlignment="1">
      <alignment horizontal="center" vertical="center"/>
    </xf>
    <xf numFmtId="0" fontId="0" fillId="0" borderId="21" xfId="0" applyBorder="1" applyAlignment="1">
      <alignment horizontal="center" vertical="center"/>
    </xf>
    <xf numFmtId="0" fontId="0" fillId="6" borderId="23" xfId="0" applyFill="1" applyBorder="1" applyAlignment="1">
      <alignment horizontal="center" vertical="center"/>
    </xf>
    <xf numFmtId="0" fontId="0" fillId="6" borderId="7" xfId="0" applyFill="1" applyBorder="1" applyAlignment="1">
      <alignment horizontal="center" vertical="center"/>
    </xf>
    <xf numFmtId="0" fontId="0" fillId="6" borderId="24" xfId="0" applyFill="1" applyBorder="1" applyAlignment="1">
      <alignment horizontal="center" vertical="center"/>
    </xf>
    <xf numFmtId="0" fontId="0" fillId="6" borderId="38" xfId="0" applyFill="1" applyBorder="1" applyAlignment="1">
      <alignment horizontal="center" vertical="center"/>
    </xf>
    <xf numFmtId="0" fontId="0" fillId="0" borderId="8" xfId="0" applyBorder="1" applyAlignment="1">
      <alignment horizontal="center" vertical="center"/>
    </xf>
    <xf numFmtId="0" fontId="0" fillId="0" borderId="14" xfId="0" applyBorder="1" applyAlignment="1">
      <alignment horizontal="center" vertical="center"/>
    </xf>
    <xf numFmtId="0" fontId="3" fillId="0" borderId="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6" xfId="0" applyFont="1" applyBorder="1" applyAlignment="1">
      <alignment horizontal="center" vertical="center" wrapText="1"/>
    </xf>
    <xf numFmtId="0" fontId="0" fillId="0" borderId="4" xfId="0" applyBorder="1" applyAlignment="1">
      <alignment horizontal="center" vertical="center"/>
    </xf>
    <xf numFmtId="0" fontId="0" fillId="5" borderId="12" xfId="0" applyFill="1" applyBorder="1"/>
    <xf numFmtId="0" fontId="0" fillId="5" borderId="13" xfId="0" applyFill="1" applyBorder="1"/>
    <xf numFmtId="0" fontId="0" fillId="5" borderId="16" xfId="0" applyFill="1" applyBorder="1"/>
    <xf numFmtId="0" fontId="0" fillId="5" borderId="15" xfId="0" applyFill="1" applyBorder="1"/>
    <xf numFmtId="0" fontId="0" fillId="5" borderId="17" xfId="0" applyFill="1" applyBorder="1" applyAlignment="1">
      <alignment horizontal="center" vertical="center"/>
    </xf>
    <xf numFmtId="0" fontId="0" fillId="5" borderId="19" xfId="0" applyFill="1" applyBorder="1" applyAlignment="1">
      <alignment horizontal="center" vertical="center"/>
    </xf>
    <xf numFmtId="0" fontId="0" fillId="5" borderId="18" xfId="0" applyFill="1" applyBorder="1" applyAlignment="1">
      <alignment horizontal="center" vertical="center"/>
    </xf>
    <xf numFmtId="0" fontId="0" fillId="5" borderId="21"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06C2B-85CA-4E9D-ADDD-E1C89948D699}">
  <dimension ref="A1:R18"/>
  <sheetViews>
    <sheetView tabSelected="1" zoomScale="70" zoomScaleNormal="70" workbookViewId="0">
      <selection activeCell="G7" sqref="G7"/>
    </sheetView>
  </sheetViews>
  <sheetFormatPr baseColWidth="10" defaultColWidth="11.42578125" defaultRowHeight="15" customHeight="1" x14ac:dyDescent="0.25"/>
  <cols>
    <col min="1" max="1" width="25.42578125" bestFit="1" customWidth="1"/>
    <col min="2" max="2" width="36.5703125" bestFit="1" customWidth="1"/>
    <col min="3" max="3" width="21.85546875" bestFit="1" customWidth="1"/>
    <col min="4" max="4" width="21.28515625" customWidth="1"/>
    <col min="5" max="5" width="23.140625" bestFit="1" customWidth="1"/>
    <col min="6" max="6" width="36.5703125" bestFit="1" customWidth="1"/>
    <col min="7" max="7" width="16.42578125" customWidth="1"/>
    <col min="8" max="8" width="20.85546875" customWidth="1"/>
    <col min="9" max="9" width="23.140625" bestFit="1" customWidth="1"/>
    <col min="10" max="10" width="39.5703125" bestFit="1" customWidth="1"/>
    <col min="11" max="11" width="44.28515625" customWidth="1"/>
    <col min="12" max="15" width="34.140625" customWidth="1"/>
    <col min="16" max="16" width="18.5703125" customWidth="1"/>
    <col min="17" max="17" width="18.42578125" customWidth="1"/>
    <col min="18" max="18" width="38" customWidth="1"/>
  </cols>
  <sheetData>
    <row r="1" spans="1:18" x14ac:dyDescent="0.25">
      <c r="A1" s="14" t="s">
        <v>0</v>
      </c>
      <c r="B1" s="15"/>
      <c r="C1" s="40"/>
      <c r="D1" s="78" t="s">
        <v>1</v>
      </c>
      <c r="E1" s="16" t="s">
        <v>2</v>
      </c>
      <c r="F1" s="79"/>
      <c r="G1" s="17" t="s">
        <v>3</v>
      </c>
      <c r="H1" s="74" t="s">
        <v>4</v>
      </c>
      <c r="I1" s="55" t="s">
        <v>5</v>
      </c>
      <c r="J1" s="56"/>
      <c r="K1" s="56"/>
      <c r="L1" s="56"/>
      <c r="M1" s="56"/>
      <c r="N1" s="56"/>
      <c r="O1" s="56"/>
      <c r="P1" s="56"/>
      <c r="Q1" s="56"/>
      <c r="R1" s="57"/>
    </row>
    <row r="2" spans="1:18" ht="14.45" customHeight="1" x14ac:dyDescent="0.25">
      <c r="A2" s="3" t="s">
        <v>6</v>
      </c>
      <c r="B2" s="1" t="s">
        <v>7</v>
      </c>
      <c r="C2" s="41" t="s">
        <v>8</v>
      </c>
      <c r="D2" s="80"/>
      <c r="E2" s="2" t="s">
        <v>6</v>
      </c>
      <c r="F2" s="81" t="s">
        <v>9</v>
      </c>
      <c r="G2" s="18"/>
      <c r="H2" s="75"/>
      <c r="I2" s="58"/>
      <c r="J2" s="19"/>
      <c r="K2" s="19"/>
      <c r="L2" s="19"/>
      <c r="M2" s="19"/>
      <c r="N2" s="19"/>
      <c r="O2" s="19"/>
      <c r="P2" s="19"/>
      <c r="Q2" s="19"/>
      <c r="R2" s="59"/>
    </row>
    <row r="3" spans="1:18" x14ac:dyDescent="0.25">
      <c r="A3" s="3" t="s">
        <v>6</v>
      </c>
      <c r="B3" s="1" t="s">
        <v>10</v>
      </c>
      <c r="C3" s="41" t="s">
        <v>11</v>
      </c>
      <c r="D3" s="80"/>
      <c r="E3" s="2" t="s">
        <v>6</v>
      </c>
      <c r="F3" s="81" t="s">
        <v>12</v>
      </c>
      <c r="G3" s="18"/>
      <c r="H3" s="75"/>
      <c r="I3" s="60" t="s">
        <v>13</v>
      </c>
      <c r="J3" s="10" t="s">
        <v>14</v>
      </c>
      <c r="K3" s="10" t="s">
        <v>15</v>
      </c>
      <c r="L3" s="10" t="s">
        <v>16</v>
      </c>
      <c r="M3" s="10" t="s">
        <v>17</v>
      </c>
      <c r="N3" s="10" t="s">
        <v>18</v>
      </c>
      <c r="O3" s="10" t="s">
        <v>19</v>
      </c>
      <c r="P3" s="10" t="s">
        <v>20</v>
      </c>
      <c r="Q3" s="10" t="s">
        <v>21</v>
      </c>
      <c r="R3" s="61" t="s">
        <v>22</v>
      </c>
    </row>
    <row r="4" spans="1:18" ht="73.5" customHeight="1" x14ac:dyDescent="0.25">
      <c r="A4" s="97" t="s">
        <v>47</v>
      </c>
      <c r="B4" s="22" t="s">
        <v>49</v>
      </c>
      <c r="C4" s="23" t="s">
        <v>50</v>
      </c>
      <c r="D4" s="37" t="s">
        <v>56</v>
      </c>
      <c r="E4" s="4" t="s">
        <v>56</v>
      </c>
      <c r="F4" s="89" t="s">
        <v>74</v>
      </c>
      <c r="G4" s="5" t="s">
        <v>24</v>
      </c>
      <c r="H4" s="76"/>
      <c r="I4" s="62" t="s">
        <v>57</v>
      </c>
      <c r="J4" s="48" t="str">
        <f>I4&amp;" - Iniciar la Tarea #1 “El Suelo es Lava”"</f>
        <v>HU-RAZONCUAN-001 - Iniciar la Tarea #1 “El Suelo es Lava”</v>
      </c>
      <c r="K4" s="48" t="str">
        <f>"Como "&amp;P4&amp;", necesito "&amp;Q4&amp;", para "&amp;R4</f>
        <v>Como Estudiante, necesito acceso a los 3 niveles de "El Suelo es Lava", instrucciones claras, estímulos visuales y auditivos, para para comenzar a jugar y entrenar el razonamiento lógico-cuantitativo.</v>
      </c>
      <c r="L4" s="11" t="s">
        <v>46</v>
      </c>
      <c r="M4" s="11" t="s">
        <v>44</v>
      </c>
      <c r="N4" s="12" t="s">
        <v>24</v>
      </c>
      <c r="O4" s="12"/>
      <c r="P4" s="48" t="s">
        <v>56</v>
      </c>
      <c r="Q4" s="48" t="s">
        <v>63</v>
      </c>
      <c r="R4" s="63" t="s">
        <v>64</v>
      </c>
    </row>
    <row r="5" spans="1:18" ht="90" x14ac:dyDescent="0.25">
      <c r="A5" s="97"/>
      <c r="B5" s="24"/>
      <c r="C5" s="23" t="s">
        <v>51</v>
      </c>
      <c r="D5" s="38"/>
      <c r="E5" s="4" t="s">
        <v>56</v>
      </c>
      <c r="F5" s="89" t="s">
        <v>75</v>
      </c>
      <c r="G5" s="5" t="s">
        <v>24</v>
      </c>
      <c r="H5" s="77"/>
      <c r="I5" s="62" t="s">
        <v>58</v>
      </c>
      <c r="J5" s="48" t="str">
        <f>I5&amp;" - Iniciar la Tarea #2 ”Los Secretos del Chef”"</f>
        <v>HU-RAZONCUAN-002 - Iniciar la Tarea #2 ”Los Secretos del Chef”</v>
      </c>
      <c r="K5" s="48" t="str">
        <f>"Como "&amp;P5&amp;", necesito "&amp;Q5&amp;", para "&amp;R5</f>
        <v>Como Estudiante, necesito acceso a los 3 niveles de "Los Secretos del Chef", instrucciones claras, estímulos visuales y auditivos, para para comenzar a jugar y entrenar mis habilidades en rompecabezas.</v>
      </c>
      <c r="L5" s="11" t="s">
        <v>46</v>
      </c>
      <c r="M5" s="11" t="s">
        <v>45</v>
      </c>
      <c r="N5" s="12" t="s">
        <v>24</v>
      </c>
      <c r="O5" s="13"/>
      <c r="P5" s="48" t="s">
        <v>56</v>
      </c>
      <c r="Q5" s="48" t="s">
        <v>65</v>
      </c>
      <c r="R5" s="63" t="s">
        <v>66</v>
      </c>
    </row>
    <row r="6" spans="1:18" ht="90" x14ac:dyDescent="0.25">
      <c r="A6" s="97"/>
      <c r="B6" s="24"/>
      <c r="C6" s="23" t="s">
        <v>52</v>
      </c>
      <c r="D6" s="38"/>
      <c r="E6" s="4" t="s">
        <v>56</v>
      </c>
      <c r="F6" s="89" t="s">
        <v>76</v>
      </c>
      <c r="G6" s="5" t="s">
        <v>24</v>
      </c>
      <c r="H6" s="77"/>
      <c r="I6" s="62" t="s">
        <v>59</v>
      </c>
      <c r="J6" s="48" t="str">
        <f>I6&amp;" - Iniciar la Tarea #3 ”Clonacion”"</f>
        <v>HU-RAZONCUAN-003 - Iniciar la Tarea #3 ”Clonacion”</v>
      </c>
      <c r="K6" s="48" t="str">
        <f>"Como "&amp;P6&amp;", necesito "&amp;Q6&amp;", para "&amp;R6</f>
        <v>Como Estudiante, necesito Acceso a los 3 niveles de "Clonacion", instrucciones claras, estímulos visuales y auditivos, para para comenzar a jugar y entrenar mis habilidades en la resolución de problemas.</v>
      </c>
      <c r="L6" s="11" t="s">
        <v>46</v>
      </c>
      <c r="M6" s="11" t="s">
        <v>25</v>
      </c>
      <c r="N6" s="12" t="s">
        <v>24</v>
      </c>
      <c r="O6" s="13"/>
      <c r="P6" s="48" t="s">
        <v>56</v>
      </c>
      <c r="Q6" s="48" t="s">
        <v>67</v>
      </c>
      <c r="R6" s="63" t="s">
        <v>68</v>
      </c>
    </row>
    <row r="7" spans="1:18" ht="90" x14ac:dyDescent="0.25">
      <c r="A7" s="97"/>
      <c r="B7" s="24"/>
      <c r="C7" s="25" t="s">
        <v>53</v>
      </c>
      <c r="D7" s="38"/>
      <c r="E7" s="4" t="s">
        <v>56</v>
      </c>
      <c r="F7" s="89" t="s">
        <v>77</v>
      </c>
      <c r="G7" s="5" t="s">
        <v>24</v>
      </c>
      <c r="H7" s="77"/>
      <c r="I7" s="62" t="s">
        <v>60</v>
      </c>
      <c r="J7" s="48" t="str">
        <f>I7&amp;" - Iniciar la Tarea #4 ”Todo en Orden”"</f>
        <v>HU-RAZONCUAN-004 - Iniciar la Tarea #4 ”Todo en Orden”</v>
      </c>
      <c r="K7" s="48" t="str">
        <f>"Como "&amp;P7&amp;", necesito "&amp;Q7&amp;", para "&amp;R7</f>
        <v>Como Estudiante, necesito Acceso a los 3 niveles de "Todo en Orden", instrucciones claras, estímulos visuales y auditivos, para para comenzar a jugar y entrenar mis habilidades en rompecabezas.</v>
      </c>
      <c r="L7" s="11" t="s">
        <v>46</v>
      </c>
      <c r="M7" s="11" t="s">
        <v>45</v>
      </c>
      <c r="N7" s="12" t="s">
        <v>24</v>
      </c>
      <c r="O7" s="13"/>
      <c r="P7" s="48" t="s">
        <v>56</v>
      </c>
      <c r="Q7" s="48" t="s">
        <v>69</v>
      </c>
      <c r="R7" s="63" t="s">
        <v>66</v>
      </c>
    </row>
    <row r="8" spans="1:18" ht="60" customHeight="1" x14ac:dyDescent="0.25">
      <c r="A8" s="97"/>
      <c r="B8" s="24"/>
      <c r="C8" s="26"/>
      <c r="D8" s="38"/>
      <c r="E8" s="87" t="s">
        <v>56</v>
      </c>
      <c r="F8" s="90" t="s">
        <v>78</v>
      </c>
      <c r="G8" s="102" t="s">
        <v>24</v>
      </c>
      <c r="H8" s="98"/>
      <c r="I8" s="64" t="s">
        <v>61</v>
      </c>
      <c r="J8" s="50" t="str">
        <f>I8&amp;" - Seleccionar una de las 4 Tareas"</f>
        <v>HU-RAZONCUAN-005 - Seleccionar una de las 4 Tareas</v>
      </c>
      <c r="K8" s="50" t="str">
        <f>"Como "&amp;P8&amp;", necesito "&amp;Q8&amp;", para "&amp;R8</f>
        <v>Como Estudiante, necesito Acceso al menu principal, instrucciones claras, para para poder ingresar a cualquiera de las Tareas existentes y comenzar el entrenamiento.</v>
      </c>
      <c r="L8" s="42" t="s">
        <v>25</v>
      </c>
      <c r="M8" s="42" t="s">
        <v>42</v>
      </c>
      <c r="N8" s="83" t="s">
        <v>43</v>
      </c>
      <c r="O8" s="46"/>
      <c r="P8" s="49" t="s">
        <v>56</v>
      </c>
      <c r="Q8" s="49" t="s">
        <v>70</v>
      </c>
      <c r="R8" s="65" t="s">
        <v>71</v>
      </c>
    </row>
    <row r="9" spans="1:18" x14ac:dyDescent="0.25">
      <c r="A9" s="97"/>
      <c r="B9" s="27"/>
      <c r="C9" s="28"/>
      <c r="D9" s="39"/>
      <c r="E9" s="88"/>
      <c r="F9" s="91"/>
      <c r="G9" s="103"/>
      <c r="H9" s="101"/>
      <c r="I9" s="66"/>
      <c r="J9" s="51"/>
      <c r="K9" s="51"/>
      <c r="L9" s="43"/>
      <c r="M9" s="43"/>
      <c r="N9" s="84"/>
      <c r="O9" s="47"/>
      <c r="P9" s="49"/>
      <c r="Q9" s="49"/>
      <c r="R9" s="65"/>
    </row>
    <row r="10" spans="1:18" ht="42" customHeight="1" x14ac:dyDescent="0.25">
      <c r="A10" s="37" t="s">
        <v>48</v>
      </c>
      <c r="B10" s="29" t="s">
        <v>54</v>
      </c>
      <c r="C10" s="30" t="s">
        <v>50</v>
      </c>
      <c r="D10" s="37" t="s">
        <v>23</v>
      </c>
      <c r="E10" s="92" t="s">
        <v>79</v>
      </c>
      <c r="F10" s="90" t="s">
        <v>80</v>
      </c>
      <c r="G10" s="102" t="s">
        <v>24</v>
      </c>
      <c r="H10" s="98"/>
      <c r="I10" s="64" t="s">
        <v>62</v>
      </c>
      <c r="J10" s="44" t="str">
        <f>I10&amp;" - Guardar los Resultados de la Sesion"</f>
        <v>HU-RAZONCUAN-006 - Guardar los Resultados de la Sesion</v>
      </c>
      <c r="K10" s="44" t="str">
        <f>"Como "&amp;P10&amp;", necesito "&amp;Q10&amp;", para "&amp;R10</f>
        <v>Como Entrenador, necesito guardar los datos de sesion del estudiante, como estímulos pasados y tareas completadas, para con el fin de conocer los pasos a seguir en cuanto a su entrenamiento.</v>
      </c>
      <c r="L10" s="42" t="s">
        <v>45</v>
      </c>
      <c r="M10" s="42" t="s">
        <v>25</v>
      </c>
      <c r="N10" s="83" t="s">
        <v>43</v>
      </c>
      <c r="O10" s="53"/>
      <c r="P10" s="49" t="s">
        <v>23</v>
      </c>
      <c r="Q10" s="49" t="s">
        <v>72</v>
      </c>
      <c r="R10" s="65" t="s">
        <v>73</v>
      </c>
    </row>
    <row r="11" spans="1:18" x14ac:dyDescent="0.25">
      <c r="A11" s="38"/>
      <c r="B11" s="31"/>
      <c r="C11" s="30" t="s">
        <v>51</v>
      </c>
      <c r="D11" s="38"/>
      <c r="E11" s="93"/>
      <c r="F11" s="94"/>
      <c r="G11" s="104"/>
      <c r="H11" s="99"/>
      <c r="I11" s="67"/>
      <c r="J11" s="45"/>
      <c r="K11" s="45"/>
      <c r="L11" s="52"/>
      <c r="M11" s="52"/>
      <c r="N11" s="85"/>
      <c r="O11" s="54"/>
      <c r="P11" s="49"/>
      <c r="Q11" s="49"/>
      <c r="R11" s="65"/>
    </row>
    <row r="12" spans="1:18" ht="30" x14ac:dyDescent="0.25">
      <c r="A12" s="38"/>
      <c r="B12" s="31"/>
      <c r="C12" s="30" t="s">
        <v>52</v>
      </c>
      <c r="D12" s="38"/>
      <c r="E12" s="93"/>
      <c r="F12" s="94"/>
      <c r="G12" s="104"/>
      <c r="H12" s="99"/>
      <c r="I12" s="67"/>
      <c r="J12" s="45"/>
      <c r="K12" s="45"/>
      <c r="L12" s="52"/>
      <c r="M12" s="52"/>
      <c r="N12" s="85"/>
      <c r="O12" s="54"/>
      <c r="P12" s="49"/>
      <c r="Q12" s="49"/>
      <c r="R12" s="65"/>
    </row>
    <row r="13" spans="1:18" ht="30" x14ac:dyDescent="0.25">
      <c r="A13" s="38"/>
      <c r="B13" s="31"/>
      <c r="C13" s="32" t="s">
        <v>53</v>
      </c>
      <c r="D13" s="38"/>
      <c r="E13" s="93"/>
      <c r="F13" s="94"/>
      <c r="G13" s="104"/>
      <c r="H13" s="99"/>
      <c r="I13" s="67"/>
      <c r="J13" s="45"/>
      <c r="K13" s="45"/>
      <c r="L13" s="52"/>
      <c r="M13" s="52"/>
      <c r="N13" s="85"/>
      <c r="O13" s="54"/>
      <c r="P13" s="49"/>
      <c r="Q13" s="49"/>
      <c r="R13" s="65"/>
    </row>
    <row r="14" spans="1:18" x14ac:dyDescent="0.25">
      <c r="A14" s="38"/>
      <c r="B14" s="31"/>
      <c r="C14" s="33" t="s">
        <v>55</v>
      </c>
      <c r="D14" s="38"/>
      <c r="E14" s="93"/>
      <c r="F14" s="94"/>
      <c r="G14" s="104"/>
      <c r="H14" s="99"/>
      <c r="I14" s="67"/>
      <c r="J14" s="45"/>
      <c r="K14" s="45"/>
      <c r="L14" s="52"/>
      <c r="M14" s="52"/>
      <c r="N14" s="85"/>
      <c r="O14" s="54"/>
      <c r="P14" s="49"/>
      <c r="Q14" s="49"/>
      <c r="R14" s="65"/>
    </row>
    <row r="15" spans="1:18" x14ac:dyDescent="0.25">
      <c r="A15" s="38"/>
      <c r="B15" s="31"/>
      <c r="C15" s="34"/>
      <c r="D15" s="38"/>
      <c r="E15" s="93"/>
      <c r="F15" s="94"/>
      <c r="G15" s="104"/>
      <c r="H15" s="99"/>
      <c r="I15" s="67"/>
      <c r="J15" s="45"/>
      <c r="K15" s="45"/>
      <c r="L15" s="52"/>
      <c r="M15" s="52"/>
      <c r="N15" s="85"/>
      <c r="O15" s="54"/>
      <c r="P15" s="49"/>
      <c r="Q15" s="49"/>
      <c r="R15" s="65"/>
    </row>
    <row r="16" spans="1:18" x14ac:dyDescent="0.25">
      <c r="A16" s="38"/>
      <c r="B16" s="31"/>
      <c r="C16" s="34"/>
      <c r="D16" s="38"/>
      <c r="E16" s="93"/>
      <c r="F16" s="94"/>
      <c r="G16" s="104"/>
      <c r="H16" s="99"/>
      <c r="I16" s="67"/>
      <c r="J16" s="45"/>
      <c r="K16" s="45"/>
      <c r="L16" s="52"/>
      <c r="M16" s="52"/>
      <c r="N16" s="85"/>
      <c r="O16" s="54"/>
      <c r="P16" s="49"/>
      <c r="Q16" s="49"/>
      <c r="R16" s="65"/>
    </row>
    <row r="17" spans="1:18" x14ac:dyDescent="0.25">
      <c r="A17" s="38"/>
      <c r="B17" s="31"/>
      <c r="C17" s="34"/>
      <c r="D17" s="38"/>
      <c r="E17" s="93"/>
      <c r="F17" s="94"/>
      <c r="G17" s="104"/>
      <c r="H17" s="99"/>
      <c r="I17" s="67"/>
      <c r="J17" s="45"/>
      <c r="K17" s="45"/>
      <c r="L17" s="52"/>
      <c r="M17" s="52"/>
      <c r="N17" s="85"/>
      <c r="O17" s="54"/>
      <c r="P17" s="49"/>
      <c r="Q17" s="49"/>
      <c r="R17" s="65"/>
    </row>
    <row r="18" spans="1:18" ht="15.75" thickBot="1" x14ac:dyDescent="0.3">
      <c r="A18" s="82"/>
      <c r="B18" s="35"/>
      <c r="C18" s="36"/>
      <c r="D18" s="82"/>
      <c r="E18" s="95"/>
      <c r="F18" s="96"/>
      <c r="G18" s="105"/>
      <c r="H18" s="100"/>
      <c r="I18" s="68"/>
      <c r="J18" s="69"/>
      <c r="K18" s="69"/>
      <c r="L18" s="70"/>
      <c r="M18" s="70"/>
      <c r="N18" s="86"/>
      <c r="O18" s="71"/>
      <c r="P18" s="72"/>
      <c r="Q18" s="72"/>
      <c r="R18" s="73"/>
    </row>
  </sheetData>
  <mergeCells count="42">
    <mergeCell ref="E8:E9"/>
    <mergeCell ref="F8:F9"/>
    <mergeCell ref="F10:F18"/>
    <mergeCell ref="E10:E18"/>
    <mergeCell ref="H10:H18"/>
    <mergeCell ref="G8:G9"/>
    <mergeCell ref="H8:H9"/>
    <mergeCell ref="G10:G18"/>
    <mergeCell ref="I10:I18"/>
    <mergeCell ref="P8:P9"/>
    <mergeCell ref="Q8:Q9"/>
    <mergeCell ref="R8:R9"/>
    <mergeCell ref="N8:N9"/>
    <mergeCell ref="O8:O9"/>
    <mergeCell ref="K10:K18"/>
    <mergeCell ref="L10:L18"/>
    <mergeCell ref="M10:M18"/>
    <mergeCell ref="P10:P18"/>
    <mergeCell ref="Q10:Q18"/>
    <mergeCell ref="R10:R18"/>
    <mergeCell ref="O10:O18"/>
    <mergeCell ref="N10:N18"/>
    <mergeCell ref="I1:R2"/>
    <mergeCell ref="A4:A9"/>
    <mergeCell ref="A10:A18"/>
    <mergeCell ref="B4:B9"/>
    <mergeCell ref="C7:C9"/>
    <mergeCell ref="B10:B18"/>
    <mergeCell ref="C14:C18"/>
    <mergeCell ref="D4:D9"/>
    <mergeCell ref="D10:D18"/>
    <mergeCell ref="J8:J9"/>
    <mergeCell ref="I8:I9"/>
    <mergeCell ref="K8:K9"/>
    <mergeCell ref="L8:L9"/>
    <mergeCell ref="M8:M9"/>
    <mergeCell ref="J10:J18"/>
    <mergeCell ref="A1:C1"/>
    <mergeCell ref="D1:D3"/>
    <mergeCell ref="E1:F1"/>
    <mergeCell ref="G1:G3"/>
    <mergeCell ref="H1:H3"/>
  </mergeCells>
  <phoneticPr fontId="4" type="noConversion"/>
  <dataValidations count="1">
    <dataValidation allowBlank="1" showInputMessage="1" showErrorMessage="1" sqref="O4" xr:uid="{115917FF-BE47-4B31-B36A-AE96F41B0B45}"/>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23577AF-56DD-4542-BA0C-45164157F3BD}">
          <x14:formula1>
            <xm:f>Valores!$A$2:$A$3</xm:f>
          </x14:formula1>
          <xm:sqref>N4:N7 G4:G8 G10</xm:sqref>
        </x14:dataValidation>
        <x14:dataValidation type="list" allowBlank="1" showInputMessage="1" showErrorMessage="1" xr:uid="{B283C780-BDE7-4A5F-B496-A80E48219C5B}">
          <x14:formula1>
            <xm:f>Valores!$B$2:$B$6</xm:f>
          </x14:formula1>
          <xm:sqref>L4:M8 L10:M10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9E83A-8B65-4B7F-A649-6A6196C7CAA6}">
  <dimension ref="D1:K13"/>
  <sheetViews>
    <sheetView workbookViewId="0">
      <selection activeCell="E6" sqref="E6"/>
    </sheetView>
  </sheetViews>
  <sheetFormatPr baseColWidth="10" defaultColWidth="9.140625" defaultRowHeight="15" x14ac:dyDescent="0.25"/>
  <cols>
    <col min="5" max="5" width="28.42578125" bestFit="1" customWidth="1"/>
  </cols>
  <sheetData>
    <row r="1" spans="4:11" x14ac:dyDescent="0.25">
      <c r="D1" s="7"/>
      <c r="E1" s="7"/>
      <c r="F1" s="7" t="s">
        <v>26</v>
      </c>
      <c r="G1" s="7" t="s">
        <v>27</v>
      </c>
      <c r="H1" s="7" t="s">
        <v>28</v>
      </c>
      <c r="I1" s="7" t="s">
        <v>29</v>
      </c>
      <c r="J1" s="7" t="s">
        <v>30</v>
      </c>
      <c r="K1" s="7" t="s">
        <v>31</v>
      </c>
    </row>
    <row r="2" spans="4:11" x14ac:dyDescent="0.25">
      <c r="D2" s="20" t="s">
        <v>32</v>
      </c>
      <c r="E2" s="9" t="s">
        <v>33</v>
      </c>
      <c r="F2" s="8" t="s">
        <v>34</v>
      </c>
      <c r="G2" s="8"/>
      <c r="H2" s="8"/>
      <c r="I2" s="8"/>
      <c r="J2" s="8"/>
      <c r="K2" s="8"/>
    </row>
    <row r="3" spans="4:11" x14ac:dyDescent="0.25">
      <c r="D3" s="21"/>
      <c r="E3" s="7" t="s">
        <v>35</v>
      </c>
      <c r="F3" s="6"/>
      <c r="G3" s="6" t="s">
        <v>34</v>
      </c>
      <c r="H3" s="6"/>
      <c r="I3" s="6"/>
      <c r="J3" s="6"/>
      <c r="K3" s="6"/>
    </row>
    <row r="4" spans="4:11" x14ac:dyDescent="0.25">
      <c r="D4" s="21"/>
      <c r="E4" s="7" t="s">
        <v>36</v>
      </c>
      <c r="F4" s="6"/>
      <c r="G4" s="6"/>
      <c r="H4" s="6" t="s">
        <v>34</v>
      </c>
      <c r="I4" s="6"/>
      <c r="J4" s="6"/>
      <c r="K4" s="6"/>
    </row>
    <row r="5" spans="4:11" x14ac:dyDescent="0.25">
      <c r="D5" s="21" t="s">
        <v>37</v>
      </c>
      <c r="E5" s="7" t="s">
        <v>33</v>
      </c>
      <c r="F5" s="6"/>
      <c r="G5" s="6" t="s">
        <v>34</v>
      </c>
      <c r="H5" s="6"/>
      <c r="I5" s="6"/>
      <c r="J5" s="6"/>
      <c r="K5" s="6"/>
    </row>
    <row r="6" spans="4:11" x14ac:dyDescent="0.25">
      <c r="D6" s="21"/>
      <c r="E6" s="7" t="s">
        <v>35</v>
      </c>
      <c r="F6" s="6"/>
      <c r="G6" s="6"/>
      <c r="H6" s="6" t="s">
        <v>34</v>
      </c>
      <c r="I6" s="6"/>
      <c r="J6" s="6"/>
      <c r="K6" s="6"/>
    </row>
    <row r="7" spans="4:11" x14ac:dyDescent="0.25">
      <c r="D7" s="21"/>
      <c r="E7" s="7" t="s">
        <v>36</v>
      </c>
      <c r="F7" s="6"/>
      <c r="G7" s="6"/>
      <c r="H7" s="6"/>
      <c r="I7" s="6" t="s">
        <v>34</v>
      </c>
      <c r="J7" s="6"/>
      <c r="K7" s="6"/>
    </row>
    <row r="8" spans="4:11" x14ac:dyDescent="0.25">
      <c r="D8" s="21" t="s">
        <v>38</v>
      </c>
      <c r="E8" s="7" t="s">
        <v>33</v>
      </c>
      <c r="F8" s="6"/>
      <c r="G8" s="6"/>
      <c r="H8" s="6" t="s">
        <v>34</v>
      </c>
      <c r="I8" s="6"/>
      <c r="J8" s="6"/>
      <c r="K8" s="6"/>
    </row>
    <row r="9" spans="4:11" x14ac:dyDescent="0.25">
      <c r="D9" s="21"/>
      <c r="E9" s="7" t="s">
        <v>35</v>
      </c>
      <c r="F9" s="6"/>
      <c r="G9" s="6"/>
      <c r="H9" s="6"/>
      <c r="I9" s="6" t="s">
        <v>34</v>
      </c>
      <c r="J9" s="6"/>
      <c r="K9" s="6"/>
    </row>
    <row r="10" spans="4:11" x14ac:dyDescent="0.25">
      <c r="D10" s="21"/>
      <c r="E10" s="7" t="s">
        <v>36</v>
      </c>
      <c r="F10" s="6"/>
      <c r="G10" s="6"/>
      <c r="H10" s="6"/>
      <c r="I10" s="6"/>
      <c r="J10" s="6" t="s">
        <v>34</v>
      </c>
      <c r="K10" s="6"/>
    </row>
    <row r="11" spans="4:11" x14ac:dyDescent="0.25">
      <c r="D11" s="21" t="s">
        <v>39</v>
      </c>
      <c r="E11" s="7" t="s">
        <v>33</v>
      </c>
      <c r="F11" s="6"/>
      <c r="G11" s="6"/>
      <c r="H11" s="6"/>
      <c r="I11" s="6" t="s">
        <v>34</v>
      </c>
      <c r="J11" s="6"/>
      <c r="K11" s="6"/>
    </row>
    <row r="12" spans="4:11" x14ac:dyDescent="0.25">
      <c r="D12" s="21"/>
      <c r="E12" s="7" t="s">
        <v>35</v>
      </c>
      <c r="F12" s="6"/>
      <c r="G12" s="6"/>
      <c r="H12" s="6"/>
      <c r="I12" s="6"/>
      <c r="J12" s="6" t="s">
        <v>34</v>
      </c>
      <c r="K12" s="6"/>
    </row>
    <row r="13" spans="4:11" x14ac:dyDescent="0.25">
      <c r="D13" s="21"/>
      <c r="E13" s="7" t="s">
        <v>36</v>
      </c>
      <c r="F13" s="6"/>
      <c r="G13" s="6"/>
      <c r="H13" s="6"/>
      <c r="I13" s="6"/>
      <c r="J13" s="6"/>
      <c r="K13" s="6" t="s">
        <v>34</v>
      </c>
    </row>
  </sheetData>
  <mergeCells count="4">
    <mergeCell ref="D2:D4"/>
    <mergeCell ref="D5:D7"/>
    <mergeCell ref="D8:D10"/>
    <mergeCell ref="D11: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E5FC-C8DB-4F25-8151-2932561E02A0}">
  <dimension ref="A1:B6"/>
  <sheetViews>
    <sheetView workbookViewId="0">
      <selection activeCell="B2" sqref="B2"/>
    </sheetView>
  </sheetViews>
  <sheetFormatPr baseColWidth="10" defaultColWidth="11.42578125" defaultRowHeight="15" x14ac:dyDescent="0.25"/>
  <cols>
    <col min="2" max="2" width="13.7109375" bestFit="1" customWidth="1"/>
  </cols>
  <sheetData>
    <row r="1" spans="1:2" x14ac:dyDescent="0.25">
      <c r="A1" t="s">
        <v>40</v>
      </c>
      <c r="B1" t="s">
        <v>41</v>
      </c>
    </row>
    <row r="2" spans="1:2" x14ac:dyDescent="0.25">
      <c r="A2" t="s">
        <v>24</v>
      </c>
      <c r="B2" t="s">
        <v>42</v>
      </c>
    </row>
    <row r="3" spans="1:2" x14ac:dyDescent="0.25">
      <c r="A3" t="s">
        <v>43</v>
      </c>
      <c r="B3" t="s">
        <v>25</v>
      </c>
    </row>
    <row r="4" spans="1:2" x14ac:dyDescent="0.25">
      <c r="B4" t="s">
        <v>44</v>
      </c>
    </row>
    <row r="5" spans="1:2" x14ac:dyDescent="0.25">
      <c r="B5" t="s">
        <v>45</v>
      </c>
    </row>
    <row r="6" spans="1:2" x14ac:dyDescent="0.25">
      <c r="B6"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45CC36234B18439988D70FCB761011" ma:contentTypeVersion="8" ma:contentTypeDescription="Crear nuevo documento." ma:contentTypeScope="" ma:versionID="ee342028a2cb9c998fbbbe2e37284e77">
  <xsd:schema xmlns:xsd="http://www.w3.org/2001/XMLSchema" xmlns:xs="http://www.w3.org/2001/XMLSchema" xmlns:p="http://schemas.microsoft.com/office/2006/metadata/properties" xmlns:ns2="36cf0646-7300-4608-bcc3-e29ed014863a" targetNamespace="http://schemas.microsoft.com/office/2006/metadata/properties" ma:root="true" ma:fieldsID="6a0c1ea2e0a8bcd0c1c8dab9587c2d09" ns2:_="">
    <xsd:import namespace="36cf0646-7300-4608-bcc3-e29ed01486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cf0646-7300-4608-bcc3-e29ed01486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63C530-210A-4FE8-A651-E5562ED4E1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cf0646-7300-4608-bcc3-e29ed01486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889E46-F513-45FD-997E-9D91772950E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1B08C6D-D138-4E1A-A0A7-2A2F62B3CD23}">
  <ds:schemaRefs>
    <ds:schemaRef ds:uri="http://schemas.microsoft.com/sharepoint/v3/contenttype/forms"/>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MapeoImpactosComandos</vt:lpstr>
      <vt:lpstr>Hoja1</vt:lpstr>
      <vt:lpstr>Valores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Jacobo Jaramillo Jaramillo</cp:lastModifiedBy>
  <cp:revision/>
  <dcterms:created xsi:type="dcterms:W3CDTF">2025-02-19T23:23:21Z</dcterms:created>
  <dcterms:modified xsi:type="dcterms:W3CDTF">2025-02-23T16:56:50Z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0x0101001945CC36234B18439988D70FCB761011</vt:lpwstr>
  </property>
</Properties>
</file>